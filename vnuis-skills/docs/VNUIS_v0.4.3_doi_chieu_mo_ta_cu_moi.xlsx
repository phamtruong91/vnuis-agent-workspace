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tả cũ - mới"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<sst xmlns="http://schemas.openxmlformats.org/spreadsheetml/2006/main" count="508" uniqueCount="508">
  <si>
    <t xml:space="preserve">Skill</t>
  </si>
  <si>
    <t xml:space="preserve">Mô tả cũ</t>
  </si>
  <si>
    <t xml:space="preserve">Số ký tự cũ</t>
  </si>
  <si>
    <t xml:space="preserve">Mô tả mới</t>
  </si>
  <si>
    <t xml:space="preserve">Số ký tự mới</t>
  </si>
  <si>
    <t xml:space="preserve">Bắt đầu bằng 'Dùng khi'</t>
  </si>
  <si>
    <t xml:space="preserve">vnuis-cntt-bao-cao-chuyen-doi-so</t>
  </si>
  <si>
    <t xml:space="preserve">Soạn báo cáo hiện trạng và kết quả chuyển đổi số của VNU-IS: hạ tầng số, số hóa quy trình, dữ liệu, nhân lực số. Dùng cuối năm hoặc khi báo cáo cơ quan quản lý về tiến độ chuyển đổi số. Dùng khi cần báo cáo Ban Giám hiệu hoặc cơ quan quản lý về tiến độ chuyển đổi số của trường. Bản riêng cho Trường Quốc tế – ĐHQGHN (VNU-IS).</t>
  </si>
  <si>
    <t xml:space="preserve">Dùng khi cần tổng hợp hiện trạng và kết quả chuyển đổi số của trường (hạ tầng số, số hóa quy trình, dữ liệu, nhân lực số) để báo cáo Ban Giám hiệu hoặc cơ quan quản lý, thường vào cuối năm.</t>
  </si>
  <si>
    <t xml:space="preserve">vnuis-cntt-ke-hoach-phat-trien-cntt</t>
  </si>
  <si>
    <t xml:space="preserve">Lập kế hoạch phát triển công nghệ thông tin của VNU-IS theo giai đoạn: hạ tầng mạng, hệ thống quản lý đào tạo (SIS), học trực tuyến (LMS), tuyển sinh trực tuyến, số hóa quy trình. Dùng khi xây dựng kế hoạch CNTT hằng năm hoặc trung hạn. Bản riêng cho Trường Quốc tế – ĐHQGHN (VNU-IS).</t>
  </si>
  <si>
    <t xml:space="preserve">Dùng khi cần lập kế hoạch phát triển công nghệ thông tin hằng năm hoặc trung hạn: nâng cấp hạ tầng mạng, máy chủ, phần mềm quản lý đào tạo, học trực tuyến, số hóa quy trình.</t>
  </si>
  <si>
    <t xml:space="preserve">vnuis-cntt-phan-loai-yeu-cau-ho-tro</t>
  </si>
  <si>
    <t xml:space="preserve">Hỗ trợ người dùng CNTT: phân loại phiếu yêu cầu hỗ trợ, đánh giá ưu tiên theo cam kết xử lý, dự thảo hướng xử lý an toàn từng bước, gợi ý hỏi đáp, báo cáo xu hướng sự cố. Dùng chung cho mọi đơn vị có bộ phận CNTT. Dùng khi tiếp nhận yêu cầu hỗ trợ CNTT cần phân loại nhanh và ưu tiên đúng cam kết xử lý. Bản riêng cho Trường Quốc tế – ĐHQGHN (VNU-IS).</t>
  </si>
  <si>
    <t xml:space="preserve">Dùng khi bộ phận CNTT tiếp nhận yêu cầu hỗ trợ (hỏng mạng, mất mật khẩu, lỗi phần mềm, thiết bị) và cần phân loại phiếu hỗ trợ (ticket), xếp ưu tiên, định hướng xử lý. Dùng chung cho mọi đơn vị.</t>
  </si>
  <si>
    <t xml:space="preserve">vnuis-cntt-soan-quy-che-an-toan-thong-tin</t>
  </si>
  <si>
    <t xml:space="preserve">Soạn quy chế an toàn thông tin mạng của VNU-IS: quản lý tài khoản, phân quyền, bảo vệ dữ liệu, sao lưu, ứng phó sự cố. Dùng khi ban hành mới hoặc rà soát quy chế ATTT của trường. Bản riêng cho Trường Quốc tế – ĐHQGHN (VNU-IS).</t>
  </si>
  <si>
    <t xml:space="preserve">Dùng khi cần ban hành mới hoặc rà soát quy chế an toàn thông tin mạng, quy định bảo mật thông tin của trường: quản lý tài khoản, phân quyền, bảo vệ dữ liệu, sao lưu, ứng phó sự cố.</t>
  </si>
  <si>
    <t xml:space="preserve">vnuis-csvc-ke-hoach-bao-tri</t>
  </si>
  <si>
    <t xml:space="preserve">Lập kế hoạch bảo trì, sửa chữa cơ sở vật chất năm của VNU-IS (khảo sát hiện trạng, phân loại ưu tiên, dự toán, tiến độ). Dùng khi Phòng TC&amp;QT (cơ sở vật chất) xây dựng kế hoạch duy tu, sửa chữa hằng năm. Bản riêng cho Trường Quốc tế – ĐHQGHN (VNU-IS).</t>
  </si>
  <si>
    <t xml:space="preserve">Dùng khi Phòng TC&amp;QT (mảng cơ sở vật chất) lập kế hoạch bảo trì, bảo dưỡng, sửa chữa cơ sở vật chất hằng năm hoặc đột xuất khi hư hỏng ảnh hưởng an toàn, giảng dạy: hiện trạng, ưu tiên, dự toán, tiến độ.</t>
  </si>
  <si>
    <t xml:space="preserve">vnuis-csvc-ke-hoach-mua-sam</t>
  </si>
  <si>
    <t xml:space="preserve">Lập kế hoạch mua sắm trang thiết bị năm của VNU-IS (tổng hợp nhu cầu các đơn vị, phân loại hình thức lựa chọn nhà thầu, tiến độ theo quý). Dùng khi Phòng TC&amp;QT (cơ sở vật chất) tổng hợp nhu cầu mua sắm hằng năm hoặc điều chỉnh, bổ sung kế hoạch. Bản riêng cho Trường Quốc tế – ĐHQGHN (VNU-IS).</t>
  </si>
  <si>
    <t xml:space="preserve">Dùng khi Phòng TC&amp;QT (mảng cơ sở vật chất) tổng hợp nhu cầu mua sắm trang thiết bị của các đơn vị thành kế hoạch năm, hoặc điều chỉnh, bổ sung kế hoạch giữa năm.</t>
  </si>
  <si>
    <t xml:space="preserve">vnuis-csvc-lap-bien-ban-kiem-ke-tai-san</t>
  </si>
  <si>
    <t xml:space="preserve">Lập biên bản kiểm kê tài sản cố định cuối năm của VNU-IS (đối chiếu sổ sách – thực tế, ghi nhận chênh lệch, kiến nghị xử lý). Dùng khi Phòng TC&amp;QT (cơ sở vật chất) tổ chức kiểm kê tài sản định kỳ hằng năm. Bản riêng cho Trường Quốc tế – ĐHQGHN (VNU-IS).</t>
  </si>
  <si>
    <t xml:space="preserve">Dùng khi kiểm kê tài sản cố định, công cụ dụng cụ cuối năm hoặc đột xuất (bàn giao, sáp nhập đơn vị) và cần lập biên bản đối chiếu sổ sách với thực tế, ghi chênh lệch, kiến nghị xử lý.</t>
  </si>
  <si>
    <t xml:space="preserve">vnuis-csvc-lap-bien-ban-nghiem-thu-thiet-bi</t>
  </si>
  <si>
    <t xml:space="preserve">Lập biên bản nghiệm thu, bàn giao trang thiết bị mua sắm (đối chiếu hợp đồng, kiểm tra số lượng – chủng loại – tình trạng – chạy thử, ghi nhận đạt/không đạt). Dùng khi Phòng TC&amp;QT (cơ sở vật chất) cùng đơn vị sử dụng tiếp nhận thiết bị từ nhà thầu. Bản riêng cho Trường Quốc tế – ĐHQGHN (VNU-IS).</t>
  </si>
  <si>
    <t xml:space="preserve">Dùng khi nhà thầu đã giao, lắp đặt xong thiết bị mua sắm và cần lập biên bản nghiệm thu, bàn giao: đối chiếu hợp đồng, kiểm tra số lượng, chủng loại, chạy thử, ghi đạt hoặc không đạt.</t>
  </si>
  <si>
    <t xml:space="preserve">vnuis-csvc-soan-hop-dong-mua-sam</t>
  </si>
  <si>
    <t xml:space="preserve">Soạn hợp đồng mua sắm trang thiết bị giữa trường đại học và nhà thầu trúng thầu (điều khoản giao hàng, nghiệm thu, thanh toán, bảo hành, phạt vi phạm). Dùng khi Phòng TC&amp;QT (cơ sở vật chất) ký kết hợp đồng sau khi có kết quả lựa chọn nhà thầu. Bản riêng cho Trường Quốc tế – ĐHQGHN (VNU-IS).</t>
  </si>
  <si>
    <t xml:space="preserve">Dùng khi đã có kết quả lựa chọn nhà thầu và cần soạn hợp đồng mua sắm trang thiết bị (giao hàng, nghiệm thu, thanh toán, bảo hành, phạt vi phạm) hoặc phụ lục điều chỉnh hợp đồng.</t>
  </si>
  <si>
    <t xml:space="preserve">vnuis-ctsv-bao-cao-cong-tac-sinh-vien-nam</t>
  </si>
  <si>
    <t xml:space="preserve">Soạn báo cáo tổng kết công tác sinh viên năm học đầy đủ các mảng (học bổng, rèn luyện, ký túc xá, phong trào, hỗ trợ việc làm, y tế – bảo hiểm) kèm số liệu, đánh giá ưu/khuyết điểm và phương hướng năm sau. Dùng khi Phòng Đào tạo (công tác sinh viên) lập báo cáo tổng kết năm học trình Ban Giám hiệu. Bản riêng cho Trường Quốc tế – ĐHQGHN (VNU-IS).</t>
  </si>
  <si>
    <t xml:space="preserve">Dùng khi Phòng Đào tạo (mảng công tác sinh viên) lập báo cáo tổng kết cả năm học: học bổng, rèn luyện, ký túc xá, phong trào, việc làm, y tế – bảo hiểm, để trình Ban Giám hiệu.</t>
  </si>
  <si>
    <t xml:space="preserve">vnuis-ctsv-ke-hoach-ngay-hoi-viec-lam</t>
  </si>
  <si>
    <t xml:space="preserve">Lập kế hoạch Ngày hội việc làm / kết nối doanh nghiệp của VNU-IS. Dùng khi cần tổ chức gian hàng tuyển dụng, phỏng vấn thử, tọa đàm kỹ năng nghề nghiệp cho sinh viên năm cuối và sinh viên mới tốt nghiệp. Bản riêng cho Trường Quốc tế – ĐHQGHN (VNU-IS).</t>
  </si>
  <si>
    <t xml:space="preserve">Dùng khi tổ chức Ngày hội việc làm hoặc kết nối doanh nghiệp cho sinh viên năm cuối và sinh viên mới tốt nghiệp: gian hàng tuyển dụng, phỏng vấn thử, tọa đàm kỹ năng nghề nghiệp.</t>
  </si>
  <si>
    <t xml:space="preserve">vnuis-ctsv-ke-hoach-tuan-sinh-hoat-cong-dan</t>
  </si>
  <si>
    <t xml:space="preserve">Lập kế hoạch Tuần sinh hoạt công dân cho sinh viên đầu khóa hoặc đầu năm học của VNU-IS. Dùng khi đầu năm học cần tổ chức cho sinh viên học tập nội quy, quy chế đào tạo, an ninh pháp luật, kỹ năng học đại học và sinh hoạt Đoàn – Hội. Bản riêng cho Trường Quốc tế – ĐHQGHN (VNU-IS).</t>
  </si>
  <si>
    <t xml:space="preserve">Dùng khi đầu khóa hoặc đầu năm học cần lập kế hoạch Tuần sinh hoạt công dân cho sinh viên mới: học nội quy, quy chế đào tạo, an ninh pháp luật, kỹ năng học đại học, sinh hoạt Đoàn – Hội.</t>
  </si>
  <si>
    <t xml:space="preserve">vnuis-ctsv-khao-sat-viec-lam-sau-tot-nghiep</t>
  </si>
  <si>
    <t xml:space="preserve">Thiết kế phiếu khảo sát và báo cáo tình trạng việc làm của sinh viên sau tốt nghiệp (tình trạng có việc làm, đúng ngành đào tạo, thu nhập, thời gian tìm việc). Dùng khi Phòng Đào tạo (công tác sinh viên) cần thực hiện khảo sát việc làm hằng năm theo khóa tốt nghiệp. Bản riêng cho Trường Quốc tế – ĐHQGHN (VNU-IS).</t>
  </si>
  <si>
    <t xml:space="preserve">Dùng khi cần khảo sát cựu sinh viên sau 6–12 tháng ra trường (đã có việc làm chưa, đúng ngành không, thu nhập, thời gian tìm việc): thiết kế phiếu và báo cáo kết quả theo khóa tốt nghiệp.</t>
  </si>
  <si>
    <t xml:space="preserve">vnuis-ctsv-lap-phieu-danh-gia-ren-luyen</t>
  </si>
  <si>
    <t xml:space="preserve">Lập phiếu đánh giá kết quả rèn luyện của sinh viên theo Thông tư 16/2015/TT-BGDĐT kèm hướng dẫn chấm điểm chi tiết. Dùng khi Phòng Đào tạo (công tác sinh viên) cần triển khai đánh giá rèn luyện cuối mỗi học kỳ: phát phiếu cho sinh viên tự đánh giá, lớp họp bình xét, cố vấn học tập và hội đồng khoa chấm điểm. Bản riêng cho Trường Quốc tế – ĐHQGHN (VNU-IS).</t>
  </si>
  <si>
    <t xml:space="preserve">Dùng khi cuối học kỳ cần tổ chức đánh giá kết quả rèn luyện sinh viên: lập phiếu tự đánh giá và hướng dẫn chấm điểm theo Thông tư 16/2015/TT-BGDĐT cho lớp, cố vấn học tập và hội đồng khoa.</t>
  </si>
  <si>
    <t xml:space="preserve">vnuis-ctsv-phan-loai-yeu-cau-sinh-vien</t>
  </si>
  <si>
    <t xml:space="preserve">Phân loại case sinh viên tiếp nhận qua phiếu/email: tóm tắt, phân loại nghiệp vụ, đánh giá mức độ ưu tiên và cam kết xử lý, định tuyến đơn vị xử lý, soạn dự thảo phản hồi (chưa gửi). Cán bộ là người xác nhận và liên hệ sinh viên. Dùng chung cho mọi đơn vị tiếp nhận phản ánh của người học. Dùng khi tiếp nhận phản ánh, khiếu nại, đề nghị của sinh viên và cần phân loại ưu tiên. Bản VNU-IS.</t>
  </si>
  <si>
    <t xml:space="preserve">Dùng khi đơn vị nhận phản ánh, khiếu nại, đề nghị của sinh viên qua email, phiếu, biểu mẫu trực tuyến (điểm số, học phí, ký túc xá, xin xác nhận) và cần phân loại, xếp ưu tiên, chuyển đúng đơn vị xử lý.</t>
  </si>
  <si>
    <t xml:space="preserve">vnuis-ctsv-soan-quyet-dinh-cap-hoc-bong</t>
  </si>
  <si>
    <t xml:space="preserve">Soạn quyết định cấp học bổng hoặc miễn, giảm học phí cho sinh viên đúng thể thức quyết định hành chính. Dùng khi Phòng Đào tạo (công tác sinh viên) đã có danh sách sinh viên đủ điều kiện và cần trình Hiệu trưởng ký quyết định cấp học bổng / miễn giảm học phí kèm danh sách. Bản riêng cho Trường Quốc tế – ĐHQGHN (VNU-IS).</t>
  </si>
  <si>
    <t xml:space="preserve">Dùng khi hội đồng đã thống nhất danh sách sinh viên đủ điều kiện và cần soạn quyết định của Hiệu trưởng cấp học bổng hoặc miễn, giảm học phí kèm danh sách.</t>
  </si>
  <si>
    <t xml:space="preserve">vnuis-ctsv-soan-quyet-dinh-khen-thuong-ky-luat</t>
  </si>
  <si>
    <t xml:space="preserve">Soạn quyết định khen thưởng hoặc kỷ luật sinh viên của VNU-IS theo quy chế công tác sinh viên. Dùng khi có biên bản vi phạm cần xử lý kỷ luật (khiển trách, cảnh cáo, đình chỉ học tập có thời hạn, buộc thôi học) hoặc khi tổng kết khen thưởng sinh viên tiêu biểu. Bản riêng cho Trường Quốc tế – ĐHQGHN (VNU-IS).</t>
  </si>
  <si>
    <t xml:space="preserve">Dùng khi cần ban hành quyết định kỷ luật sinh viên (đã có biên bản vi phạm) hoặc quyết định khen thưởng sinh viên theo đợt, theo quy chế công tác sinh viên.</t>
  </si>
  <si>
    <t xml:space="preserve">vnuis-ctsv-soan-thong-bao-hoc-bong</t>
  </si>
  <si>
    <t xml:space="preserve">Soạn thông báo học bổng của VNU-IS đúng thể thức hành chính. Dùng khi Phòng Đào tạo (công tác sinh viên) cần công bố học bổng khuyến khích học tập, học bổng tài trợ của doanh nghiệp/tổ chức, hoặc học bổng chính sách đến sinh viên. Bản riêng cho Trường Quốc tế – ĐHQGHN (VNU-IS).</t>
  </si>
  <si>
    <t xml:space="preserve">Dùng khi cần công bố cho sinh viên một chương trình học bổng (khuyến khích học tập, tài trợ của doanh nghiệp, chính sách): điều kiện, mức học bổng, hồ sơ, hạn nộp.</t>
  </si>
  <si>
    <t xml:space="preserve">vnuis-ctsv-tong-hop-diem-ren-luyen</t>
  </si>
  <si>
    <t xml:space="preserve">Tổng hợp điểm rèn luyện của sinh viên toàn trường theo học kỳ từ kết quả các khoa. Dùng khi Phòng Đào tạo (công tác sinh viên) cần lập bảng tổng hợp theo khoa (số sinh viên từng mức xếp loại, tỷ lệ %) kèm nhận xét, đánh giá và kiến nghị để báo cáo Ban Giám hiệu. Bản riêng cho Trường Quốc tế – ĐHQGHN (VNU-IS).</t>
  </si>
  <si>
    <t xml:space="preserve">Dùng khi các khoa đã chấm xong điểm rèn luyện học kỳ và cần gộp toàn trường: bảng theo khoa (số sinh viên từng mức xếp loại, tỷ lệ %), kèm nhận xét, kiến nghị gửi Ban Giám hiệu.</t>
  </si>
  <si>
    <t xml:space="preserve">vnuis-dbcl-bao-cao-dam-bao-chat-luong-nam</t>
  </si>
  <si>
    <t xml:space="preserve">Soạn báo cáo tổng kết công tác đảm bảo chất lượng năm học của VNU-IS: khảo thí, tự đánh giá/kiểm định, khảo sát các bên liên quan, cải tiến chất lượng. Dùng cuối mỗi năm học để báo cáo Ban Giám hiệu và cơ quan quản lý. Dùng khi kết thúc năm học và Phòng Đào tạo (khảo thí, đảm bảo chất lượng) cần tổng hợp hoạt động đảm bảo chất lượng. Bản riêng cho Trường Quốc tế – ĐHQGHN (VNU-IS).</t>
  </si>
  <si>
    <t xml:space="preserve">Dùng khi kết thúc năm học và cần tổng hợp toàn bộ hoạt động đảm bảo chất lượng (khảo thí, tự đánh giá, kiểm định, khảo sát các bên liên quan, cải tiến) thành báo cáo gửi Ban Giám hiệu, cơ quan quản lý.</t>
  </si>
  <si>
    <t xml:space="preserve">vnuis-dbcl-bao-cao-tu-danh-gia</t>
  </si>
  <si>
    <t xml:space="preserve">Soạn báo cáo tự đánh giá cơ sở giáo dục hoặc chương trình đào tạo của VNU-IS theo bộ tiêu chuẩn kiểm định (Thông tư 20/2026/TT-BGDĐT cho CSGD, Thông tư 04/2025/TT-BGDĐT cho CTĐT). Dùng khi chuẩn bị kiểm định chất lượng giáo dục. Bản riêng cho Trường Quốc tế – ĐHQGHN (VNU-IS).</t>
  </si>
  <si>
    <t xml:space="preserve">Dùng khi chuẩn bị kiểm định và cần viết báo cáo tự đánh giá cơ sở giáo dục hoặc chương trình đào tạo theo bộ tiêu chuẩn hiện hành (Thông tư 20/2026/TT-BGDĐT, Thông tư 04/2025/TT-BGDĐT).</t>
  </si>
  <si>
    <t xml:space="preserve">vnuis-dbcl-ke-hoach-cai-tien-chat-luong</t>
  </si>
  <si>
    <t xml:space="preserve">Lập kế hoạch cải tiến chất lượng sau tự đánh giá hoặc sau kiểm định chất lượng giáo dục: từ khuyến nghị thành hành động cụ thể có đơn vị thực hiện, thời hạn, kinh phí và tiêu chí đánh giá. Dùng sau mỗi chu kỳ tự đánh giá / đón đoàn đánh giá ngoài. Dùng khi đã có kết quả tự đánh giá hoặc kết luận đánh giá ngoài và cần chuyển khuyến nghị thành kế hoạch hành động. Bản VNU-IS.</t>
  </si>
  <si>
    <t xml:space="preserve">Dùng khi đã có kết quả tự đánh giá hoặc kết luận đánh giá ngoài và cần chuyển các khuyến nghị, tồn tại thành kế hoạch cải tiến có đơn vị thực hiện, thời hạn, kinh phí, tiêu chí đánh giá.</t>
  </si>
  <si>
    <t xml:space="preserve">vnuis-dbcl-lap-danh-muc-minh-chung</t>
  </si>
  <si>
    <t xml:space="preserve">Lập danh mục kiểm minh chứng kiểm định chất lượng giáo dục theo từng tiêu chí/tiêu chuẩn, kèm hướng dẫn mã hóa và phân công thu thập. Dùng khi chuẩn bị hồ sơ minh chứng cho tự đánh giá và đón đoàn đánh giá ngoài. Bản riêng cho Trường Quốc tế – ĐHQGHN (VNU-IS).</t>
  </si>
  <si>
    <t xml:space="preserve">Dùng khi chuẩn bị minh chứng cho tự đánh giá và đón đoàn đánh giá ngoài: liệt kê minh chứng theo từng tiêu chí, mã hóa, phân công thu thập.</t>
  </si>
  <si>
    <t xml:space="preserve">vnuis-dc-dong-goi-skill-tu-quy-trinh</t>
  </si>
  <si>
    <t xml:space="preserve">Skill hướng dẫn tạo skill — phân rã một quy trình thực tế của đơn vị thành gói skill AI có thể tái dùng: process map, skill spec theo chuẩn SKILL.md, bộ test case kiểm thử. Dùng chung cho mọi đơn vị khi muốn số hóa tri thức nghiệp vụ. Dùng khi đơn vị muốn biến một quy trình công việc thành skill AI dùng lại được. Bản riêng cho Trường Quốc tế – ĐHQGHN (VNU-IS).</t>
  </si>
  <si>
    <t xml:space="preserve">Dùng khi đơn vị muốn biến một quy trình công việc đang làm thủ công thành skill AI dùng lại được: vẽ lại quy trình, viết đặc tả skill, soạn bộ tình huống kiểm thử.</t>
  </si>
  <si>
    <t xml:space="preserve">vnuis-dc-hoi-dap-chinh-sach-co-trich-nguon</t>
  </si>
  <si>
    <t xml:space="preserve">Xây dựng bộ hỏi đáp chính sách từ văn bản quy định: mỗi câu trả lời chỉ dựa trên nguồn, trích rõ điều/khoản + ngày hiệu lực; từ chối khi ngoài phạm vi hoặc văn bản hết hiệu lực. Dùng chung cho mọi chính sách: học phí, học bổng, đào tạo, cán bộ... Dùng khi cần xây dựng hoặc vận hành kênh hỏi đáp về chính sách, quy định của trường. Bản riêng cho Trường Quốc tế – ĐHQGHN (VNU-IS).</t>
  </si>
  <si>
    <t xml:space="preserve">Dùng khi xây dựng hoặc vận hành kênh hỏi đáp về chính sách, quy định của trường (học phí, học bổng, quy chế đào tạo, chế độ cán bộ, ký túc xá) mà mỗi câu trả lời phải trích đúng điều, khoản, ngày hiệu lực.</t>
  </si>
  <si>
    <t xml:space="preserve">vnuis-dc-kiem-tra-chat-luong-du-lieu-bao-cao</t>
  </si>
  <si>
    <t xml:space="preserve">Kiểm tra tính đầy đủ và nhất quán của file dữ liệu trước khi lập báo cáo của Trường Quốc tế – ĐHQGHN: ô trống, kiểu dữ liệu, giá trị ngoài danh mục, bản ghi trùng, tổng phụ khác tổng, mã chương trình sai, số liệu mâu thuẫn giữa các file. Dùng khi cần kiểm tra trước khi lập báo cáo đào tạo, tuyển sinh, khoa học công nghệ hoặc báo cáo gửi ĐHQGHN.</t>
  </si>
  <si>
    <t xml:space="preserve">Dùng khi có file Excel hoặc CSV xuất từ hệ thống để lập báo cáo và cần kiểm tra trước: ô trống, bản ghi trùng, tổng không khớp, giá trị ngoài danh mục, hai nguồn cho số khác nhau.</t>
  </si>
  <si>
    <t xml:space="preserve">vnuis-dc-kiem-tra-day-du-ho-so</t>
  </si>
  <si>
    <t xml:space="preserve">Đối chiếu hồ sơ với danh mục kiểm tra: phát hiện thành phần thiếu, giấy tờ không hợp lệ (sai mẫu, hết hạn, thiếu chữ ký) → bảng đủ/thiếu + câu hỏi và dự thảo hướng dẫn bổ sung. Dùng khi tiếp nhận hồ sơ cần kiểm tra đủ/thiếu, bất kỳ loại hồ sơ nào trong trường (tuyển dụng, bổ nhiệm, khen thưởng, học bổng, tốt nghiệp...). Bản riêng cho Trường Quốc tế – ĐHQGHN (VNU-IS).</t>
  </si>
  <si>
    <t xml:space="preserve">Dùng khi tiếp nhận bất kỳ bộ hồ sơ nào (tuyển dụng, bổ nhiệm, khen thưởng, học bổng, tốt nghiệp, thanh quyết toán) và cần đối chiếu danh mục thành phần để biết đủ hay thiếu, giấy tờ nào không hợp lệ.</t>
  </si>
  <si>
    <t xml:space="preserve">vnuis-dc-lap-danh-muc-kho-tri-thuc</t>
  </si>
  <si>
    <t xml:space="preserve">Lập danh mục kho tri thức của Trường Quốc tế – ĐHQGHN từ danh sách file hồ sơ, biểu mẫu, hướng dẫn và bài học: phân loại, gắn nhãn đơn vị và nghiệp vụ, phát hiện trùng và bản cũ, đề xuất bản dùng chính. Dùng khi các đơn vị cần tìm và dùng lại tài liệu thay vì làm lại từ đầu.</t>
  </si>
  <si>
    <t xml:space="preserve">Dùng khi biểu mẫu, hướng dẫn, hồ sơ mẫu nằm rải rác nhiều nơi và cần lập danh mục: phân loại, gắn nhãn đơn vị, tìm bản trùng và bản cũ, chọn bản dùng chính để các đơn vị dùng lại.</t>
  </si>
  <si>
    <t xml:space="preserve">vnuis-dc-phan-tich-ket-qua-khao-sat</t>
  </si>
  <si>
    <t xml:space="preserve">Phân tích kết quả khảo sát các bên liên quan của VNU-IS (thống kê mô tả, so sánh nhóm, xu hướng) và đề xuất cải tiến. Dùng sau khi thu thập xong phiếu khảo sát sinh viên, giảng viên, cựu sinh viên, nhà tuyển dụng. Dùng khi đã có dữ liệu khảo sát thô và cần báo cáo phân tích có kết luận, đề xuất. Bản riêng cho Trường Quốc tế – ĐHQGHN (VNU-IS).</t>
  </si>
  <si>
    <t xml:space="preserve">Dùng khi đã thu xong phiếu khảo sát (sinh viên, giảng viên, cựu sinh viên, nhà tuyển dụng) và cần phân tích dữ liệu thô thành báo cáo có số liệu, so sánh nhóm, kết luận, đề xuất cải tiến.</t>
  </si>
  <si>
    <t xml:space="preserve">vnuis-dc-quan-ly-phien-ban-tai-lieu</t>
  </si>
  <si>
    <t xml:space="preserve">Kiểm kê thư mục tài liệu ở chế độ CHỈ ĐỌC: lập bảng tra, phát hiện file trùng lặp/phiên bản, đề xuất taxonomy và quy tắc đặt tên, liệt kê tài liệu thiếu. Tuyệt đối không xóa, di chuyển hay đổi tên bất kỳ file nào. Dùng khi đơn vị cần sắp xếp lại thư mục tài liệu mà chưa muốn thay đổi file nào. Bản riêng cho Trường Quốc tế – ĐHQGHN (VNU-IS).</t>
  </si>
  <si>
    <t xml:space="preserve">Dùng khi thư mục tài liệu lộn xộn (nhiều bản final, final2, mới nhất) và cần kiểm kê, tìm file trùng và bản cũ, đề xuất quy tắc đặt tên mà không xóa, đổi tên hay di chuyển file nào.</t>
  </si>
  <si>
    <t xml:space="preserve">vnuis-dc-quan-tri-du-an</t>
  </si>
  <si>
    <t xml:space="preserve">Quản trị dự án (điều phối dự án) cho Viện Đổi mới sáng tạo và Chuyển giao công nghệ: tracker tiến độ, vấn đề nhật ký, risk nhật ký, lessons learned theo từng dự án. Dùng khi viện triển khai các dự án NCKH, chuyển giao, ươm tạo cần theo dõi tập trung. Bản riêng cho Trường Quốc tế – ĐHQGHN (VNU-IS).</t>
  </si>
  <si>
    <t xml:space="preserve">Dùng khi Viện ĐMST&amp;CGCN hoặc đơn vị tương đương cần theo dõi một dự án đang chạy: tiến độ từng gói việc, vấn đề, rủi ro, bài học, và bảng theo dõi một trang để trình lãnh đạo.</t>
  </si>
  <si>
    <t xml:space="preserve">vnuis-dc-thiet-ke-phieu-khao-sat</t>
  </si>
  <si>
    <t xml:space="preserve">Thiết kế phiếu khảo sát các bên liên quan của VNU-IS (sinh viên, giảng viên, cựu sinh viên, nhà tuyển dụng) phục vụ đảm bảo chất lượng. Dùng khi cần thu thập ý kiến để cải tiến chương trình đào tạo, dịch vụ. Bản riêng cho Trường Quốc tế – ĐHQGHN (VNU-IS).</t>
  </si>
  <si>
    <t xml:space="preserve">Dùng khi cần thu thập ý kiến sinh viên, giảng viên, cựu sinh viên hoặc nhà tuyển dụng về chương trình đào tạo, giảng dạy, dịch vụ và phải thiết kế bộ câu hỏi, phiếu khảo sát.</t>
  </si>
  <si>
    <t xml:space="preserve">vnuis-dmst-bao-cao-dich-vu</t>
  </si>
  <si>
    <t xml:space="preserve">Lập báo cáo hoạt động dịch vụ khoa học công nghệ của VNU-IS: doanh thu, khách hàng, dự án/hợp đồng, hiệu quả và kế hoạch kỳ tới. Dùng cho đơn vị KHCN báo cáo định kỳ (quý/năm) với lãnh đạo trường. Bản riêng cho Trường Quốc tế – ĐHQGHN (VNU-IS).</t>
  </si>
  <si>
    <t xml:space="preserve">Dùng khi cuối quý hoặc cuối năm đơn vị làm dịch vụ khoa học công nghệ (trung tâm, viện, Phòng KHCN&amp;HTPT) báo cáo lãnh đạo trường: hợp đồng đã ký, doanh thu, khách hàng, khó khăn, kế hoạch kỳ tới.</t>
  </si>
  <si>
    <t xml:space="preserve">vnuis-dmst-bao-cao-du-an-dinh-ky</t>
  </si>
  <si>
    <t xml:space="preserve">Soạn báo cáo dự án định kỳ gửi khách hàng/đối tác cho Viện Đổi mới sáng tạo và Chuyển giao công nghệ: tiến độ, sản phẩm bàn giao, chỉ số đánh giá, vấn đề và kế hoạch kỳ tới. Dùng khi đến kỳ báo cáo theo hợp đồng/thỏa thuận dự án. Bản riêng cho Trường Quốc tế – ĐHQGHN (VNU-IS).</t>
  </si>
  <si>
    <t xml:space="preserve">Dùng khi dự án của Viện đến kỳ báo cáo theo hợp đồng hoặc thỏa thuận (tháng, quý, giai đoạn) gửi khách hàng, đối tác, nhà tài trợ: tiến độ, sản phẩm bàn giao, chỉ số, vấn đề, kế hoạch tiếp theo.</t>
  </si>
  <si>
    <t xml:space="preserve">vnuis-dmst-cap-chung-chi-dao-tao-lien-tuc</t>
  </si>
  <si>
    <t xml:space="preserve">Xét điều kiện hoàn thành khóa học, lập quyết định cấp chứng chỉ đào tạo liên tục / bồi dưỡng ngắn hạn và quản lý sổ cấp chứng chỉ. Dùng cuối mỗi khóa học. Dùng khi khóa bồi dưỡng ngắn hạn kết thúc và cần cấp chứng chỉ. Bản riêng cho Trường Quốc tế – ĐHQGHN (VNU-IS).</t>
  </si>
  <si>
    <t xml:space="preserve">Dùng khi khóa bồi dưỡng ngắn hạn kết thúc và cần xét điều kiện hoàn thành của từng học viên, lập quyết định cấp chứng chỉ hoặc chứng nhận, ghi sổ và quản lý phôi.</t>
  </si>
  <si>
    <t xml:space="preserve">vnuis-dmst-danh-gia-hieu-qua-chuong-trinh-du-an</t>
  </si>
  <si>
    <t xml:space="preserve">Đánh giá hiệu quả một chương trình hoặc dự án của Trường Quốc tế – ĐHQGHN so với mục tiêu ban đầu: đối chiếu chỉ số cam kết với kết quả, phản hồi người tham gia, chi phí và bài học. Dùng khi Viện hoặc Phòng KHCN và Hợp tác phát triển cần báo cáo đánh giá sau khi kết thúc hoặc sau thử nghiệm.</t>
  </si>
  <si>
    <t xml:space="preserve">Dùng khi chương trình, khóa bồi dưỡng, dự án hoặc đợt thử nghiệm đã xong và cần đánh giá bằng số liệu: so chỉ số cam kết với kết quả thực tế, phản hồi người tham gia, chi phí, bài học.</t>
  </si>
  <si>
    <t xml:space="preserve">vnuis-dmst-ke-hoach-dao-tao-lien-tuc</t>
  </si>
  <si>
    <t xml:space="preserve">Lập kế hoạch đào tạo liên tục năm của Trung tâm Đào tạo liên tục / Trường bồi dưỡng: khảo sát nhu cầu, danh mục khóa ngắn hạn, lịch khai giảng, dự toán thu chi. Dùng khi xây dựng kế hoạch năm hoặc điều chỉnh giữa kỳ. Bản riêng cho Trường Quốc tế – ĐHQGHN (VNU-IS).</t>
  </si>
  <si>
    <t xml:space="preserve">Dùng khi Trung tâm Đào tạo liên tục hoặc Trường bồi dưỡng lập kế hoạch cả năm hoặc điều chỉnh giữa kỳ: khảo sát nhu cầu, danh mục khóa ngắn hạn cho người đi làm và doanh nghiệp, lịch khai giảng, dự toán thu chi.</t>
  </si>
  <si>
    <t xml:space="preserve">vnuis-dmst-ke-hoach-uom-tao</t>
  </si>
  <si>
    <t xml:space="preserve">Lập kế hoạch chương trình ươm tạo đổi mới sáng tạo của Viện: tiêu chí tuyển chọn, lộ trình ươm tạo theo giai đoạn, nguồn lực hỗ trợ và chỉ số đánh giá đầu ra. Dùng khi viện tổ chức các đợt ươm tạo startup/dự án khởi nghiệp. Bản riêng cho Trường Quốc tế – ĐHQGHN (VNU-IS).</t>
  </si>
  <si>
    <t xml:space="preserve">Dùng khi Viện tổ chức đợt ươm tạo đổi mới sáng tạo (startup của sinh viên, giảng viên, dự án khởi nghiệp) và cần kế hoạch: tiêu chí tuyển chọn, lộ trình theo giai đoạn, nguồn lực, chỉ tiêu đầu ra.</t>
  </si>
  <si>
    <t xml:space="preserve">vnuis-dmst-lap-ho-so-chuyen-giao-cong-nghe</t>
  </si>
  <si>
    <t xml:space="preserve">Soạn hồ sơ chuyển giao công nghệ của Viện Đổi mới sáng tạo và Chuyển giao công nghệ: mô tả công nghệ, định giá, điều khoản thương thảo, biên bản chuyển giao. Dùng khi chuyển giao kết quả NCKH cho doanh nghiệp/tổ chức. Bản riêng cho Trường Quốc tế – ĐHQGHN (VNU-IS).</t>
  </si>
  <si>
    <t xml:space="preserve">Dùng khi kết quả nghiên cứu (sáng chế, giải pháp, quy trình, phần mềm) sẵn sàng chuyển giao cho doanh nghiệp, tổ chức và cần bộ hồ sơ: mô tả công nghệ, định giá, điều khoản thương thảo, biên bản chuyển giao.</t>
  </si>
  <si>
    <t xml:space="preserve">vnuis-dmst-lap-ho-so-hop-dong-dich-vu</t>
  </si>
  <si>
    <t xml:space="preserve">Soạn trọn bộ hồ sơ hợp đồng dịch vụ khoa học công nghệ của VNU-IS (tư vấn, phân tích mẫu, chuyển giao, đào tạo theo nhu cầu): báo giá, hợp đồng, biên bản nghiệm thu dịch vụ, thanh lý hợp đồng. Dùng khi đơn vị KHCN ký dịch vụ với khách hàng ngoài trường. Bản riêng cho Trường Quốc tế – ĐHQGHN (VNU-IS).</t>
  </si>
  <si>
    <t xml:space="preserve">Dùng khi trung tâm, viện hoặc Phòng KHCN&amp;HTPT nhận dịch vụ khoa học công nghệ cho khách hàng ngoài trường (tư vấn, phân tích mẫu, đào tạo theo đặt hàng) và cần báo giá, hợp đồng, nghiệm thu, thanh lý.</t>
  </si>
  <si>
    <t xml:space="preserve">vnuis-dmst-sang-loc-sang-kien</t>
  </si>
  <si>
    <t xml:space="preserve">Tiếp nhận danh sách sáng kiến, nhu cầu đổi mới sáng tạo của Viện ĐMST&amp;CGCN, Trường Quốc tế – ĐHQGHN, chuẩn hóa thông tin, chấm sơ bộ theo tiêu chí do Viện đặt, xếp nhóm ưu tiên và liệt kê điểm còn thiếu. Dùng khi Viện nhận nhiều đề xuất cùng lúc và cần bảng so sánh để Ban lãnh đạo chọn.</t>
  </si>
  <si>
    <t xml:space="preserve">Dùng khi Viện nhận nhiều sáng kiến hoặc nhu cầu đổi mới sáng tạo cùng lúc và cần chuẩn hóa, chấm sơ bộ theo tiêu chí Viện đặt, xếp nhóm ưu tiên thành bảng so sánh để lãnh đạo chọn việc làm trước.</t>
  </si>
  <si>
    <t xml:space="preserve">vnuis-dmst-to-chuc-khoa-boi-duong-ngan-han</t>
  </si>
  <si>
    <t xml:space="preserve">Lập kế hoạch chi tiết tổ chức một khóa bồi dưỡng ngắn hạn: giảng viên, học liệu, hậu cần, tuyển sinh, đánh giá và cấp chứng chỉ. Dùng khi triển khai từng khóa trong kế hoạch năm. Bản riêng cho Trường Quốc tế – ĐHQGHN (VNU-IS).</t>
  </si>
  <si>
    <t xml:space="preserve">Dùng khi triển khai (mở lớp) một khóa bồi dưỡng ngắn hạn cụ thể trong kế hoạch năm và cần kế hoạch chi tiết: giảng viên, học liệu, tuyển sinh, hậu cần, đánh giá, cấp chứng chỉ.</t>
  </si>
  <si>
    <t xml:space="preserve">vnuis-dt-bao-cao-3-cong-khai</t>
  </si>
  <si>
    <t xml:space="preserve">Tổng hợp báo cáo 3 công khai của VNU-IS gồm: công khai cam kết chất lượng đào tạo; công khai điều kiện đảm bảo chất lượng; công khai thu chi tài chính (theo Thông tư 09/2024/TT-BGDĐT). Dùng khi trường phải công bố công khai hằng năm trên website. Không dùng để lập riêng bảng số liệu mảng đào tạo (dùng vnuis-dt-tong-hop-so-lieu-3-cong-khai). Bản riêng cho Trường Quốc tế – ĐHQGHN (VNU-IS).</t>
  </si>
  <si>
    <t xml:space="preserve">Dùng khi đến kỳ công bố hằng năm trên website và cần tổng hợp báo cáo ba công khai toàn trường: cam kết chất lượng đào tạo, điều kiện đảm bảo chất lượng, thu chi tài chính (Thông tư 09/2024/TT-BGDĐT).</t>
  </si>
  <si>
    <t xml:space="preserve">vnuis-dt-bao-cao-dao-tao-dinh-ky</t>
  </si>
  <si>
    <t xml:space="preserve">Soạn báo cáo công tác đào tạo định kỳ (học kỳ/năm học) của VNU-IS: tổng hợp quy mô sinh viên, kết quả học tập, tốt nghiệp, đội ngũ giảng viên, cơ sở vật chất; đánh giá thuận lợi/khó khăn và phương hướng kỳ tới. Dùng khi cần báo cáo sơ kết học kỳ, tổng kết năm học hoặc báo cáo cơ quan quản lý. Bản riêng cho Trường Quốc tế – ĐHQGHN (VNU-IS).</t>
  </si>
  <si>
    <t xml:space="preserve">Dùng khi cần báo cáo sơ kết học kỳ, tổng kết năm học hoặc báo cáo cơ quan quản lý về công tác đào tạo: quy mô sinh viên, kết quả học tập, tốt nghiệp, giảng viên, cơ sở vật chất, thuận lợi, khó khăn.</t>
  </si>
  <si>
    <t xml:space="preserve">vnuis-dt-doi-chieu-cong-nhan-tin-chi</t>
  </si>
  <si>
    <t xml:space="preserve">Lập bảng đối chiếu học phần khi sinh viên chuyển tiếp, trao đổi hoặc học theo mô hình 2+2 tại Trường Quốc tế – ĐHQGHN: ghép học phần nơi đi với học phần của chương trình nơi đến, so tín chỉ, giờ, chuẩn đầu ra, ngôn ngữ, ghi mức tương đương đề xuất. Dùng khi chuẩn bị hồ sơ để người có thẩm quyền quyết định công nhận.</t>
  </si>
  <si>
    <t xml:space="preserve">Dùng khi sinh viên chuyển tiếp, trao đổi hoặc học theo mô hình 2+2 và cần bảng đối chiếu học phần nơi đi với chương trình nơi đến (tín chỉ, giờ, chuẩn đầu ra, ngôn ngữ) để người có thẩm quyền quyết định công nhận.</t>
  </si>
  <si>
    <t xml:space="preserve">vnuis-dt-ke-hoach-dao-tao-nam-hoc</t>
  </si>
  <si>
    <t xml:space="preserve">Lập kế hoạch năm học cho phòng Đào tạo VNU-IS (khung thời gian khai giảng, học kỳ, lịch thi, nghỉ lễ/Tết, xét tốt nghiệp, mốc tuyển sinh, phân công đơn vị thực hiện). Dùng khi cần xây dựng kế hoạch đào tạo năm học mới hoặc điều chỉnh kế hoạch năm học hiện tại. Không dùng cho kế hoạch năm học toàn trường do Văn phòng tổng hợp (dùng vnuis-vp-ke-hoach-nam-hoc-toan-truong). Bản VNU-IS.</t>
  </si>
  <si>
    <t xml:space="preserve">Dùng khi Phòng Đào tạo xây dựng kế hoạch năm học mới hoặc điều chỉnh kế hoạch hiện hành: khai giảng, học kỳ, lịch thi, nghỉ lễ Tết, xét tốt nghiệp, mốc tuyển sinh, phân công đơn vị.</t>
  </si>
  <si>
    <t xml:space="preserve">vnuis-dt-lap-ma-tran-chuan-dau-ra</t>
  </si>
  <si>
    <t xml:space="preserve">Lập ma trận đối sánh chuẩn đầu ra học phần (CLO) với chuẩn đầu ra chương trình (PLO) theo mức I – R – M, kiểm tra mỗi PLO có ít nhất một học phần đạt mức M và rà soát học phần thừa/thiếu. Dùng khi thẩm định, rà soát hoặc kiểm định chương trình đào tạo. Bản riêng cho Trường Quốc tế – ĐHQGHN (VNU-IS).</t>
  </si>
  <si>
    <t xml:space="preserve">Dùng khi thẩm định, rà soát hoặc kiểm định chương trình đào tạo và cần ma trận đối sánh chuẩn đầu ra học phần với chuẩn đầu ra chương trình (CLO–PLO), tìm chuẩn chưa được học phần nào đạt.</t>
  </si>
  <si>
    <t xml:space="preserve">vnuis-dt-lap-thoi-khoa-bieu</t>
  </si>
  <si>
    <t xml:space="preserve">Lập thời khóa biểu học kỳ cho VNU-IS (xếp lớp học phần, phân công giảng viên, xếp phòng học, kiểm tra trùng lịch). Dùng khi cần xây dựng hoặc điều chỉnh thời khóa biểu một học kỳ trước khi công bố cho sinh viên và giảng viên. Bản riêng cho Trường Quốc tế – ĐHQGHN (VNU-IS).</t>
  </si>
  <si>
    <t xml:space="preserve">Dùng khi lập mới hoặc điều chỉnh thời khóa biểu học kỳ: mở lớp theo sĩ số, phân công giảng viên, xếp phòng học, kiểm tra trùng lịch giảng viên, phòng và sinh viên trước khi công bố.</t>
  </si>
  <si>
    <t xml:space="preserve">vnuis-dt-phan-cong-giang-day</t>
  </si>
  <si>
    <t xml:space="preserve">Lập bảng phân công giảng dạy học kỳ cho giảng viên của khoa/bộ môn VNU-IS: căn cứ danh mục học phần, chuyên môn và định mức giờ giảng. Dùng đầu mỗi học kỳ. Dùng khi bắt đầu học kỳ và khoa/bộ môn cần phân công giảng viên theo học phần, lớp học phần. Bản riêng cho Trường Quốc tế – ĐHQGHN (VNU-IS).</t>
  </si>
  <si>
    <t xml:space="preserve">Dùng khi bắt đầu học kỳ và khoa, bộ môn cần phân công giảng viên theo học phần, lớp học phần dựa trên chuyên môn và định mức giờ giảng.</t>
  </si>
  <si>
    <t xml:space="preserve">vnuis-dt-ra-soat-tien-do-tot-nghiep</t>
  </si>
  <si>
    <t xml:space="preserve">Rà soát tiến độ tốt nghiệp bằng cách đối chiếu bảng điểm với chương trình đào tạo: kiểm tra hợp lệ dữ liệu, áp quy tắc tương đương học phần, liệt kê học phần còn thiếu và giải thích. Dùng chung cho Phòng Đào tạo, các khoa, cố vấn học tập. Dùng khi cuối học kỳ hoặc trước đợt xét tốt nghiệp, cần rà nhanh sinh viên đã đủ điều kiện tốt nghiệp chưa. Bản riêng cho Trường Quốc tế – ĐHQGHN (VNU-IS).</t>
  </si>
  <si>
    <t xml:space="preserve">Dùng khi cuối học kỳ hoặc trước đợt xét tốt nghiệp cần rà nhanh sinh viên đã đủ điều kiện tốt nghiệp chưa: đối chiếu bảng điểm với chương trình đào tạo, liệt kê học phần còn thiếu. Dùng chung cho Phòng Đào tạo, khoa, cố vấn học tập.</t>
  </si>
  <si>
    <t xml:space="preserve">vnuis-dt-soan-de-an-mo-nganh</t>
  </si>
  <si>
    <t xml:space="preserve">Soạn đề án mở ngành đào tạo trình độ đại học theo căn cứ hiện hành nêu tại phap-ly.md (sự cần thiết, điều kiện đội ngũ – CSVC, chương trình đào tạo dự kiến, kế hoạch tuyển sinh và đảm bảo chất lượng). Dùng khi trường chuẩn bị hồ sơ đề nghị cơ quan có thẩm quyền cho phép mở ngành mới (tuyến và thẩm quyền chờ C2, C6). Bản riêng cho Trường Quốc tế – ĐHQGHN (VNU-IS).</t>
  </si>
  <si>
    <t xml:space="preserve">Dùng khi chuẩn bị hồ sơ đề nghị cơ quan có thẩm quyền cho phép mở ngành đào tạo đại học mới: sự cần thiết, điều kiện đội ngũ và cơ sở vật chất, chương trình dự kiến, kế hoạch tuyển sinh.</t>
  </si>
  <si>
    <t xml:space="preserve">vnuis-dt-soan-de-cuong-hoc-phan</t>
  </si>
  <si>
    <t xml:space="preserve">Soạn đề cương chi tiết học phần trình độ đại học (thông tin chung, mục tiêu và CLO, nội dung theo tuần, phương pháp giảng dạy, phương pháp và trọng số đánh giá, tài liệu học tập). Dùng khi xây dựng mới hoặc cập nhật đề cương từng học phần trong chương trình đào tạo. Bản riêng cho Trường Quốc tế – ĐHQGHN (VNU-IS).</t>
  </si>
  <si>
    <t xml:space="preserve">Dùng khi giảng viên, bộ môn cần soạn mới hoặc cập nhật đề cương chi tiết một học phần đại học: mục tiêu, chuẩn đầu ra, nội dung theo tuần, phương pháp giảng dạy, cách đánh giá, tài liệu.</t>
  </si>
  <si>
    <t xml:space="preserve">vnuis-dt-soan-quy-che-dao-tao</t>
  </si>
  <si>
    <t xml:space="preserve">Soạn mới hoặc sửa đổi, bổ sung quy chế đào tạo trình độ đại học của trường theo quy chế khung tại Thông tư 56/2026/TT-BGDĐT (tổ chức đào tạo, đánh giá học phần, công tác học vụ, tốt nghiệp, xử lý vi phạm). Dùng khi ban hành lần đầu hoặc cập nhật quy chế đào tạo của trường. Bản riêng cho Trường Quốc tế – ĐHQGHN (VNU-IS).</t>
  </si>
  <si>
    <t xml:space="preserve">Dùng khi nhà trường ban hành lần đầu hoặc sửa đổi, bổ sung quy chế đào tạo trình độ đại học theo quy chế khung (Thông tư 56/2026/TT-BGDĐT): tổ chức đào tạo, đánh giá học phần, học vụ, tốt nghiệp, xử lý vi phạm.</t>
  </si>
  <si>
    <t xml:space="preserve">vnuis-dt-soan-quyet-dinh-tot-nghiep</t>
  </si>
  <si>
    <t xml:space="preserve">Soạn quyết định công nhận tốt nghiệp cho sinh viên theo từng đợt (kèm danh sách xếp loại tốt nghiệp, chuyển in bằng). Dùng khi hội đồng xét tốt nghiệp đã họp và cần ban hành quyết định công nhận tốt nghiệp. Bản riêng cho Trường Quốc tế – ĐHQGHN (VNU-IS).</t>
  </si>
  <si>
    <t xml:space="preserve">Dùng khi hội đồng xét tốt nghiệp đã họp xong và cần soạn quyết định công nhận tốt nghiệp theo từng đợt, kèm danh sách xếp loại làm căn cứ in bằng, cấp bảng điểm.</t>
  </si>
  <si>
    <t xml:space="preserve">vnuis-dt-soan-quyet-dinh-xu-ly-hoc-vu</t>
  </si>
  <si>
    <t xml:space="preserve">Soạn quyết định xử lý học vụ sinh viên (cảnh báo học vụ, buộc thôi học, bảo lưu kết quả học tập, chuyển trường) đúng thể thức Nghị định 30/2020/NĐ-CP. Dùng khi kết thúc học kỳ/năm học cần xử lý học vụ theo quy chế đào tạo. Bản riêng cho Trường Quốc tế – ĐHQGHN (VNU-IS).</t>
  </si>
  <si>
    <t xml:space="preserve">Dùng khi kết thúc học kỳ hoặc năm học cần ban hành quyết định xử lý học vụ sinh viên: cảnh báo học vụ, buộc thôi học, bảo lưu kết quả học tập, chuyển trường.</t>
  </si>
  <si>
    <t xml:space="preserve">vnuis-dt-theo-doi-chuong-trinh-lien-ket</t>
  </si>
  <si>
    <t xml:space="preserve">Lập bảng theo dõi nghĩa vụ và mốc của từng chương trình liên kết hoặc song bằng của Trường Quốc tế – ĐHQGHN với đối tác: nội dung thỏa thuận, mốc báo cáo, kiểm định, thù lao, chỉ tiêu, ai làm gì và việc đến hạn. Dùng khi Phòng Đào tạo cần nắm các cam kết với từng đối tác trong một báo cáo thống nhất.</t>
  </si>
  <si>
    <t xml:space="preserve">Dùng khi Phòng Đào tạo cần nắm cam kết với từng đối tác của các chương trình liên kết hoặc song bằng: mốc báo cáo, kiểm định, thù lao, chỉ tiêu, ai làm gì, việc nào đến hạn, nhất là trước khi gặp đối tác hoặc báo cáo ĐHQGHN.</t>
  </si>
  <si>
    <t xml:space="preserve">vnuis-dt-theo-doi-tieng-anh-du-bi</t>
  </si>
  <si>
    <t xml:space="preserve">Theo dõi người học tiếng Anh dự bị của Trường Quốc tế – ĐHQGHN: danh sách lớp, kết quả đầu vào và các lần kiểm tra, chuyên cần, điều kiện chuyển lên chương trình chính, cảnh báo người học có nguy cơ chưa đạt. Dùng khi Phòng Đào tạo cần nắm tiến độ từng nhóm trước các mốc xét chuyển tiếp.</t>
  </si>
  <si>
    <t xml:space="preserve">Dùng khi Phòng Đào tạo cần theo dõi người học tiếng Anh dự bị: kết quả đầu vào và các lần kiểm tra, chuyên cần, điều kiện chuyển lên chương trình chính, danh sách có nguy cơ chưa đạt trước các mốc xét chuyển tiếp.</t>
  </si>
  <si>
    <t xml:space="preserve">vnuis-dt-tong-hop-so-lieu-3-cong-khai</t>
  </si>
  <si>
    <t xml:space="preserve">Tổng hợp số liệu 3 công khai mảng đào tạo của VNU-IS theo Thông tư 09/2024/TT-BGDĐT: công khai chất lượng đào tạo, điều kiện đảm bảo chất lượng, và thu chi tài chính mảng đào tạo. Dùng khi cần lập bộ bảng 3 công khai hằng năm để đăng website trường và báo cáo Bộ GD&amp;ĐT. Không dùng cho báo cáo 3 công khai tổng hợp toàn trường (dùng vnuis-dt-bao-cao-3-cong-khai). Bản VNU-IS.</t>
  </si>
  <si>
    <t xml:space="preserve">Dùng khi đến kỳ công khai hằng năm và cần lập bộ bảng số liệu ba công khai riêng mảng đào tạo (chất lượng đào tạo, điều kiện đảm bảo chất lượng, thu chi tài chính mảng đào tạo) theo Thông tư 09/2024/TT-BGDĐT.</t>
  </si>
  <si>
    <t xml:space="preserve">vnuis-dt-xay-dung-khung-chuong-trinh</t>
  </si>
  <si>
    <t xml:space="preserve">Xây dựng khung chương trình đào tạo trình độ đại học theo Thông tư 54/2026/TT-BGDĐT (mục tiêu, chuẩn đầu ra PLO, cấu trúc khối kiến thức và tổng số tín chỉ, mô tả vắn tắt từng học phần). Dùng khi xây dựng mới hoặc rà soát, cập nhật chương trình đào tạo của một ngành. Bản riêng cho Trường Quốc tế – ĐHQGHN (VNU-IS).</t>
  </si>
  <si>
    <t xml:space="preserve">Dùng khi xây dựng mới, rà soát hoặc cập nhật khung chương trình đào tạo đại học của một ngành theo Thông tư 54/2026/TT-BGDĐT: mục tiêu, chuẩn đầu ra, khối kiến thức, tổng số tín chỉ, danh mục học phần.</t>
  </si>
  <si>
    <t xml:space="preserve">vnuis-hd-kiem-tra-ho-so-trinh-hoi-dong</t>
  </si>
  <si>
    <t xml:space="preserve">Tiếp nhận, phân loại và kiểm tra thành phần hồ sơ trình Hội đồng Khoa học và Đào tạo của Trường Quốc tế – ĐHQGHN: xác định loại nội dung, đối chiếu danh mục thành phần, phiên bản, phụ lục, ý kiến đơn vị liên quan, lập phiếu tiếp nhận và danh sách cần bổ sung. Dùng khi cần kiểm tra hồ sơ trước khi đưa vào chương trình phiên họp.</t>
  </si>
  <si>
    <t xml:space="preserve">Dùng khi thư ký Hội đồng Khoa học và Đào tạo nhận tờ trình, đề án, chương trình đào tạo, quy chế và cần kiểm tra hồ sơ đã đủ để đưa vào chương trình phiên họp chưa, lập phiếu tiếp nhận và danh sách cần bổ sung.</t>
  </si>
  <si>
    <t xml:space="preserve">vnuis-hd-lap-phieu-lay-y-kien</t>
  </si>
  <si>
    <t xml:space="preserve">Soạn phiếu lấy ý kiến thành viên Hội đồng Khoa học và Đào tạo bằng văn bản khi không tổ chức họp tập trung: nội dung xin ý kiến, tài liệu kèm theo, ô ghi ý kiến và tổng hợp kết quả. Dùng cho các nội dung cần ý kiến hội đồng nhưng chưa đến kỳ họp. Bản riêng cho Trường Quốc tế – ĐHQGHN (VNU-IS).</t>
  </si>
  <si>
    <t xml:space="preserve">Dùng khi cần xin ý kiến thành viên Hội đồng Khoa học và Đào tạo bằng văn bản vì không họp tập trung: nội dung phát sinh giữa hai kỳ họp hoặc cần ý kiến nhanh.</t>
  </si>
  <si>
    <t xml:space="preserve">vnuis-hd-soan-bien-ban-hop</t>
  </si>
  <si>
    <t xml:space="preserve">Soạn biên bản họp Hội đồng Khoa học và Đào tạo: diễn biến, ý kiến từng thành viên và kết quả biểu quyết theo từng nội dung. Dùng sau mỗi phiên họp hội đồng. Dùng khi sau mỗi phiên họp Hội đồng Khoa học và Đào tạo cần lập biên bản. Bản riêng cho Trường Quốc tế – ĐHQGHN (VNU-IS).</t>
  </si>
  <si>
    <t xml:space="preserve">Dùng khi vừa kết thúc phiên họp Hội đồng Khoa học và Đào tạo (định kỳ hoặc đột xuất) và cần lập biên bản: diễn biến, ý kiến từng thành viên, kết quả biểu quyết từng nội dung.</t>
  </si>
  <si>
    <t xml:space="preserve">vnuis-hd-soan-nghi-quyet</t>
  </si>
  <si>
    <t xml:space="preserve">Soạn nghị quyết của Hội đồng Khoa học và Đào tạo: quyết nghị về chương trình đào tạo, đề tài NCKH, học hàm, và các nội dung chuyên môn thuộc thẩm quyền hội đồng. Dùng sau khi phiên họp đã biểu quyết thông qua. Dùng khi Hội đồng Khoa học và Đào tạo đã biểu quyết và cần ban hành nghị quyết. Bản riêng cho Trường Quốc tế – ĐHQGHN (VNU-IS).</t>
  </si>
  <si>
    <t xml:space="preserve">Dùng khi Hội đồng Khoa học và Đào tạo đã biểu quyết thông qua các nội dung (chương trình đào tạo, đề tài, công nhận chức danh, định hướng khoa học công nghệ) và cần ban hành nghị quyết làm căn cứ để Hiệu trưởng quyết định.</t>
  </si>
  <si>
    <t xml:space="preserve">vnuis-hd-theo-doi-thuc-hien-ket-luan</t>
  </si>
  <si>
    <t xml:space="preserve">Chuyển nghị quyết, kết luận, kiến nghị của Hội đồng Khoa học và Đào tạo thuộc Trường Quốc tế – ĐHQGHN thành bảng theo dõi: nội dung, đơn vị chủ trì và phối hợp, hạn, minh chứng, trạng thái, phản hồi qua các phiên họp; cảnh báo quá hạn và tra cứu theo nội dung. Dùng khi sau mỗi phiên họp hoặc khi tổng hợp tình hình thực hiện.</t>
  </si>
  <si>
    <t xml:space="preserve">Dùng khi sau phiên họp có nghị quyết, kết luận của Hội đồng Khoa học và Đào tạo cần giao việc và theo dõi: đơn vị chủ trì, hạn, minh chứng, trạng thái, cảnh báo quá hạn, báo cáo tình hình thực hiện qua nhiều phiên.</t>
  </si>
  <si>
    <t xml:space="preserve">vnuis-htqt-bao-cao-hop-tac-quoc-te</t>
  </si>
  <si>
    <t xml:space="preserve">Tổng hợp hoạt động hợp tác quốc tế định kỳ của Trường Quốc tế – ĐHQGHN từ danh sách hoạt động, danh mục MOU/MOA, số liệu trao đổi người học và giảng viên, hội thảo và dự án: phân loại, đếm, đối chiếu mâu thuẫn, lập báo cáo theo mẫu. Dùng khi Phòng KHCN và Hợp tác phát triển báo cáo đối ngoại tháng, quý, năm.</t>
  </si>
  <si>
    <t xml:space="preserve">Dùng khi Phòng KHCN và Hợp tác phát triển báo cáo hoạt động hợp tác quốc tế theo tháng, quý, năm cho Ban Giám hiệu hoặc ĐHQGHN, hoặc cần trả nhanh số thỏa thuận, số đối tác, số lượt trao đổi theo năm.</t>
  </si>
  <si>
    <t xml:space="preserve">vnuis-htqt-ke-hoach-doan-ra-vao</t>
  </si>
  <si>
    <t xml:space="preserve">Lập kế hoạch đoàn ra (cán bộ đi công tác nước ngoài) và đoàn vào (đón tiếp đối tác quốc tế) cho VNU-IS: mục đích, thành phần đoàn, chương trình chi tiết theo ngày, kinh phí dự kiến. Dùng khi chuẩn bị chuyến công tác quốc tế hoặc đón đoàn đối tác. Bản riêng cho Trường Quốc tế – ĐHQGHN (VNU-IS).</t>
  </si>
  <si>
    <t xml:space="preserve">Dùng khi chuẩn bị chuyến công tác, học tập, dự hội nghị nước ngoài của cán bộ (đoàn ra) hoặc đón đoàn đối tác, chuyên gia quốc tế (đoàn vào): mục đích, thành phần, chương trình theo ngày, kinh phí, trình duyệt.</t>
  </si>
  <si>
    <t xml:space="preserve">vnuis-htqt-ke-hoach-trao-doi-nguoi-hoc</t>
  </si>
  <si>
    <t xml:space="preserve">Lập kế hoạch trao đổi người học hoặc giảng viên của Trường Quốc tế – ĐHQGHN với đối tác: chương trình, chỉ tiêu, điều kiện, lịch, công nhận học phần, hồ sơ cần có và việc cần làm trước khi đi hoặc đến. Dùng khi Phòng KHCN và Hợp tác phát triển và Phòng Đào tạo chuẩn bị đợt trao đổi mới.</t>
  </si>
  <si>
    <t xml:space="preserve">Dùng khi chuẩn bị một đợt trao đổi người học hoặc giảng viên theo thỏa thuận đã có với đối tác (sinh viên đi trao đổi một học kỳ, đoàn đến): chỉ tiêu, điều kiện, lịch, công nhận học phần, hồ sơ, mốc việc.</t>
  </si>
  <si>
    <t xml:space="preserve">vnuis-htqt-lap-ho-so-doi-tac</t>
  </si>
  <si>
    <t xml:space="preserve">Lập hồ sơ tóm tắt một đối tác quốc tế của Trường Quốc tế – ĐHQGHN từ tài liệu người dùng cung cấp (hồ sơ năng lực, MOU cũ, báo cáo hợp tác, tài liệu công khai đã tải): tên Việt và Anh, quốc gia, loại hình, lĩnh vực, lịch sử hợp tác, đầu mối, tình trạng thỏa thuận, mỗi thông tin kèm nguồn. Dùng khi cần chuẩn bị trước làm việc hoặc ký kết với đối tác.</t>
  </si>
  <si>
    <t xml:space="preserve">Dùng khi chuẩn bị đón tiếp, đàm phán hoặc ký MOU, MOA với một đối tác quốc tế và cần hồ sơ tóm tắt đối tác (tên Việt – Anh, quốc gia, lĩnh vực, lịch sử hợp tác, đầu mối, tình trạng thỏa thuận), mỗi thông tin kèm nguồn.</t>
  </si>
  <si>
    <t xml:space="preserve">vnuis-htqt-soan-mou-moa-song-ngu</t>
  </si>
  <si>
    <t xml:space="preserve">Soạn biên bản ghi nhớ (MOU) / thỏa thuận hợp tác (MOA) SONG NGỮ Việt–Anh cho VNU-IS: các điều khoản mục đích, lĩnh vực hợp tác, trách nhiệm các bên, thời hạn, điều khoản chung. Dùng khi ký kết hợp tác với đối tác trong nước hoặc quốc tế. Bản riêng cho Trường Quốc tế – ĐHQGHN (VNU-IS).</t>
  </si>
  <si>
    <t xml:space="preserve">Dùng khi VNU-IS chuẩn bị ký kết hợp tác với đối tác trong nước hoặc quốc tế và cần soạn biên bản ghi nhớ (MOU) hay thỏa thuận hợp tác (MOA) song ngữ Việt–Anh: mục đích, lĩnh vực, trách nhiệm hai bên, thời hạn.</t>
  </si>
  <si>
    <t xml:space="preserve">vnuis-khaothi-ke-hoach-to-chuc-thi</t>
  </si>
  <si>
    <t xml:space="preserve">Lập kế hoạch tổ chức kỳ thi kết thúc học phần / thi tốt nghiệp của VNU-IS: lịch thi, phân công nhiệm vụ, chuẩn bị đề thi – phòng thi, chấm thi và công bố kết quả. Dùng khi chuẩn bị mỗi kỳ thi trong năm học. Bản riêng cho Trường Quốc tế – ĐHQGHN (VNU-IS).</t>
  </si>
  <si>
    <t xml:space="preserve">Dùng khi chuẩn bị một kỳ thi (kết thúc học phần, tốt nghiệp, tuyển sinh sau đại học) và cần kế hoạch tổng thể: lịch thi, phân công, đề thi, phòng thi, chấm thi, công bố kết quả.</t>
  </si>
  <si>
    <t xml:space="preserve">vnuis-khaothi-lap-bien-ban-phong-thi</t>
  </si>
  <si>
    <t xml:space="preserve">Lập biên bản phòng thi và biên bản bàn giao bài thi trong các kỳ thi của VNU-IS. Dùng khi cán bộ coi thi cần ghi nhận diễn biến, số lượng thí sinh, vi phạm (nếu có) và bàn giao bài thi sau mỗi ca thi. Bản riêng cho Trường Quốc tế – ĐHQGHN (VNU-IS).</t>
  </si>
  <si>
    <t xml:space="preserve">Dùng khi kết thúc mỗi ca thi và cán bộ coi thi cần lập biên bản phòng thi (số thí sinh, diễn biến, vi phạm nếu có) và biên bản bàn giao bài thi cho thư ký hội đồng.</t>
  </si>
  <si>
    <t xml:space="preserve">vnuis-khaothi-phan-tich-ket-qua-thi</t>
  </si>
  <si>
    <t xml:space="preserve">Phân tích kết quả thi kết thúc học phần của VNU-IS: phổ điểm, các chỉ số thống kê, độ khó và độ phân biệt của câu hỏi/đề thi, từ đó đánh giá chất lượng đề thi và đề xuất cải tiến. Dùng sau mỗi kỳ thi. Dùng khi kỳ thi kết thúc và đã có bảng điểm. Bản riêng cho Trường Quốc tế – ĐHQGHN (VNU-IS).</t>
  </si>
  <si>
    <t xml:space="preserve">Dùng khi kỳ thi kết thúc, đã có bảng điểm và cần đánh giá chất lượng đề: phổ điểm, câu quá khó hay quá dễ, độ phân biệt, đề xuất điều chỉnh cho lần sau.</t>
  </si>
  <si>
    <t xml:space="preserve">vnuis-khaothi-quy-trinh-ngan-hang-de-thi</t>
  </si>
  <si>
    <t xml:space="preserve">Xây dựng quy trình thu thập, phản biện, phê duyệt, bảo mật và khai thác ngân hàng đề thi / câu hỏi thi của VNU-IS. Dùng khi cần ban hành hoặc rà soát quy trình quản lý đề thi kết thúc học phần, thi tốt nghiệp. Bản riêng cho Trường Quốc tế – ĐHQGHN (VNU-IS).</t>
  </si>
  <si>
    <t xml:space="preserve">Dùng khi cần ban hành hoặc rà soát quy trình quản lý ngân hàng đề thi: biên soạn, phản biện, phê duyệt, lưu trữ bảo mật, rút đề theo ma trận.</t>
  </si>
  <si>
    <t xml:space="preserve">vnuis-khaothi-soan-quyet-dinh-phan-cong-thi</t>
  </si>
  <si>
    <t xml:space="preserve">Soạn quyết định phân công cán bộ coi thi, chấm thi, thanh tra thi trong các kỳ thi của VNU-IS đúng thể thức Nghị định 30/2020/NĐ-CP. Dùng mỗi kỳ thi kết thúc học phần, thi tốt nghiệp. Dùng khi cần ban hành quyết định phân công coi thi, chấm thi, thanh tra thi cho một kỳ thi cụ thể. Bản riêng cho Trường Quốc tế – ĐHQGHN (VNU-IS).</t>
  </si>
  <si>
    <t xml:space="preserve">Dùng khi cần ban hành quyết định phân công cán bộ coi thi, chấm thi, thanh tra thi cho một kỳ thi cụ thể, đúng thể thức Nghị định 30/2020/NĐ-CP.</t>
  </si>
  <si>
    <t xml:space="preserve">vnuis-khaothi-soan-quyet-dinh-phuc-khao</t>
  </si>
  <si>
    <t xml:space="preserve">Soạn quyết định công nhận kết quả phúc khảo bài thi của sinh viên VNU-IS đúng thể thức Nghị định 30/2020/NĐ-CP. Dùng sau khi hội đồng phúc khảo chấm lại và có kết quả thay đổi/không thay đổi điểm. Dùng khi đã chấm phúc khảo xong và cần ban hành quyết định công nhận kết quả. Bản riêng cho Trường Quốc tế – ĐHQGHN (VNU-IS).</t>
  </si>
  <si>
    <t xml:space="preserve">Dùng khi hội đồng đã chấm phúc khảo xong và cần ban hành quyết định công nhận kết quả (giữ nguyên hoặc điều chỉnh điểm), đúng thể thức Nghị định 30/2020/NĐ-CP.</t>
  </si>
  <si>
    <t xml:space="preserve">vnuis-khcn-bao-cao-khcn-htqt-nam</t>
  </si>
  <si>
    <t xml:space="preserve">Soạn báo cáo tổng kết công tác khoa học công nghệ và hợp tác quốc tế hằng năm của VNU-IS: đề tài các cấp, công bố khoa học, sở hữu trí tuệ, hội thảo, hợp tác quốc tế, số liệu tổng hợp theo bảng biểu. Dùng khi tổng kết năm, báo cáo ĐHQGHN/Bộ GD&amp;ĐT hoặc phục vụ kiểm định. Bản riêng cho Trường Quốc tế – ĐHQGHN (VNU-IS).</t>
  </si>
  <si>
    <t xml:space="preserve">Dùng khi tổng kết năm về khoa học công nghệ và hợp tác quốc tế: báo cáo ĐHQGHN/Bộ GD&amp;ĐT, báo cáo năm học, phục vụ kiểm định; gồm đề tài, công bố, sở hữu trí tuệ, hội thảo, số liệu bảng biểu.</t>
  </si>
  <si>
    <t xml:space="preserve">vnuis-khcn-bao-cao-nghiem-thu-de-tai</t>
  </si>
  <si>
    <t xml:space="preserve">Soạn bộ hồ sơ nghiệm thu đề tài NCKH gồm 2 phần: (1) Báo cáo tổng kết đề tài và (2) Biên bản nghiệm thu của Hội đồng. Dùng khi đề tài kết thúc thời gian thực hiện, chuẩn bị họp hội đồng nghiệm thu và thanh lý hợp đồng. Bản riêng cho Trường Quốc tế – ĐHQGHN (VNU-IS).</t>
  </si>
  <si>
    <t xml:space="preserve">Dùng khi đề tài NCKH hết thời gian thực hiện và cần bộ hồ sơ nghiệm thu: báo cáo tổng kết của chủ nhiệm và biên bản nghiệm thu của hội đồng, làm căn cứ thanh lý hợp đồng.</t>
  </si>
  <si>
    <t xml:space="preserve">vnuis-khcn-bao-cao-tien-do-de-tai</t>
  </si>
  <si>
    <t xml:space="preserve">Soạn báo cáo tiến độ đề tài NCKH định kỳ 6 tháng hoặc hằng năm: nội dung đã thực hiện, kinh phí đã sử dụng, khó khăn vướng mắc, kế hoạch kỳ tiếp theo. Dùng giữa kỳ thực hiện đề tài để báo cáo Phòng KHCN&amp;HTPT hoặc cơ quan quản lý cấp trên. Dùng khi đề tài đang thực hiện và đến kỳ báo cáo tiến độ định kỳ. Bản riêng cho Trường Quốc tế – ĐHQGHN (VNU-IS).</t>
  </si>
  <si>
    <t xml:space="preserve">Dùng khi đề tài NCKH đang thực hiện và đến kỳ báo cáo tiến độ (6 tháng hoặc năm) gửi Phòng KHCN&amp;HTPT hay cơ quan quản lý: việc đã làm, kinh phí đã dùng, vướng mắc, kế hoạch kỳ sau.</t>
  </si>
  <si>
    <t xml:space="preserve">vnuis-khcn-bien-soan-giao-trinh</t>
  </si>
  <si>
    <t xml:space="preserve">Hỗ trợ biên soạn giáo trình, bài giảng đại học: từ đề cương chi tiết đến cấu trúc chương, phản biện và nghiệm thu. Dùng khi giảng viên/bộ môn được giao biên soạn giáo trình cho học phần. Bản riêng cho Trường Quốc tế – ĐHQGHN (VNU-IS).</t>
  </si>
  <si>
    <t xml:space="preserve">Dùng khi giảng viên hoặc bộ môn được giao biên soạn giáo trình, bài giảng cho một học phần: đề cương chi tiết, cấu trúc chương, phản biện, nghiệm thu.</t>
  </si>
  <si>
    <t xml:space="preserve">vnuis-khcn-bien-tap-ky-yeu-hoi-thao</t>
  </si>
  <si>
    <t xml:space="preserve">Biên tập kỷ yếu hội thảo khoa học của VNU-IS: thu thập bài viết, chuẩn hoá định dạng và trích dẫn tài liệu tham khảo, sắp xếp bài theo phiên thảo luận, soạn lời nói đầu và mục lục, xuất bản file hoàn chỉnh. Dùng khi cần xuất bản kỷ yếu sau hội thảo, hội nghị khoa học. Bản riêng cho Trường Quốc tế – ĐHQGHN (VNU-IS).</t>
  </si>
  <si>
    <t xml:space="preserve">Dùng khi cần biên tập và xuất bản kỷ yếu sau hội thảo khoa học: gom bài toàn văn, chuẩn hóa định dạng và trích dẫn, sắp xếp theo phiên, soạn lời nói đầu và mục lục.</t>
  </si>
  <si>
    <t xml:space="preserve">vnuis-khcn-bien-tap-xuat-ban-an-pham</t>
  </si>
  <si>
    <t xml:space="preserve">Quy trình biên tập và xuất bản ấn phẩm của VNU-IS (giáo trình, sách chuyên khảo, kỷ yếu, tài liệu nội bộ): tiếp nhận bản thảo, biên tập nội dung – ngôn ngữ, chế bản, xin giấy phép, in và phát hành. Dùng cho Nhà xuất bản/ban biên tập của trường. Bản riêng cho Trường Quốc tế – ĐHQGHN (VNU-IS).</t>
  </si>
  <si>
    <t xml:space="preserve">Dùng khi Nhà xuất bản hoặc ban biên tập của trường xuất bản giáo trình, sách chuyên khảo, kỷ yếu, tài liệu nội bộ và cần đi từ bản thảo đến sách in đúng quy định xuất bản.</t>
  </si>
  <si>
    <t xml:space="preserve">vnuis-khcn-ke-hoach-hoi-thao</t>
  </si>
  <si>
    <t xml:space="preserve">Lập kế hoạch tổ chức hội thảo khoa học cấp trường, quốc gia hoặc quốc tế: chủ đề, thời gian, địa điểm, thành phần tham dự, chương trình chi tiết, dự toán kinh phí và thư mời tham dự. Dùng khi đơn vị được giao hoặc đề xuất tổ chức hội thảo. Bản riêng cho Trường Quốc tế – ĐHQGHN (VNU-IS).</t>
  </si>
  <si>
    <t xml:space="preserve">Dùng khi khoa, phòng được giao hoặc đề xuất tổ chức hội thảo khoa học và cần kế hoạch trình lãnh đạo: chủ đề, thời gian, thành phần, chương trình, dự toán, thư mời.</t>
  </si>
  <si>
    <t xml:space="preserve">vnuis-khcn-lap-cau-truc-bai-bao</t>
  </si>
  <si>
    <t xml:space="preserve">Hỗ trợ cấu trúc và hoàn thiện bài báo khoa học: tiêu đề, tóm tắt (abstract), từ khóa, đặt vấn đề, phương pháp, kết quả, thảo luận, kết luận, tài liệu tham khảo; kiểm tra nội bộ trước khi gửi tạp chí. Dùng khi giảng viên, nghiên cứu sinh chuẩn bị bản thảo gửi tạp chí trong nước hoặc quốc tế. Bản riêng cho Trường Quốc tế – ĐHQGHN (VNU-IS).</t>
  </si>
  <si>
    <t xml:space="preserve">Dùng khi giảng viên, nghiên cứu sinh, học viên cao học cần dàn ý và hoàn thiện bản thảo bài báo khoa học trước khi gửi tạp chí trong nước hoặc quốc tế.</t>
  </si>
  <si>
    <t xml:space="preserve">vnuis-khcn-lap-ho-so-cong-nhan-sang-kien</t>
  </si>
  <si>
    <t xml:space="preserve">Soạn hồ sơ đề nghị công nhận sáng kiến kinh nghiệm: đơn đề nghị, bản mô tả sáng kiến (thực trạng, giải pháp, hiệu quả áp dụng), ý kiến nhận xét của đơn vị và danh mục kiểm hồ sơ. Dùng khi cán bộ, giảng viên đăng ký công nhận sáng kiến cấp trường/cấp ngành. Bản riêng cho Trường Quốc tế – ĐHQGHN (VNU-IS).</t>
  </si>
  <si>
    <t xml:space="preserve">Dùng khi cán bộ, giảng viên đăng ký công nhận sáng kiến kinh nghiệm cấp trường hoặc cấp ngành và cần đơn đề nghị, bản mô tả sáng kiến, ý kiến đơn vị, danh mục hồ sơ.</t>
  </si>
  <si>
    <t xml:space="preserve">vnuis-khcn-lap-ho-so-quyet-toan-de-tai</t>
  </si>
  <si>
    <t xml:space="preserve">Kiểm tra và soạn hồ sơ thanh quyết toán kinh phí đề tài nghiên cứu khoa học: phân loại chứng từ theo nội dung chi (thuê khoán, vật tư, hội thảo, công tác phí...), đối chiếu với dự toán được duyệt, lập bảng quyết toán và danh mục kiểm hồ sơ. Dùng khi đề tài kết thúc hoặc đến kỳ thanh toán kinh phí. Bản riêng cho Trường Quốc tế – ĐHQGHN (VNU-IS).</t>
  </si>
  <si>
    <t xml:space="preserve">Dùng khi đề tài NCKH cần thanh toán đợt hoặc quyết toán kinh phí: phân loại chứng từ theo nội dung chi, đối chiếu dự toán được duyệt, kiểm tra hồ sơ trước khi nộp Phòng KHCN&amp;HTPT, Phòng TC&amp;QT.</t>
  </si>
  <si>
    <t xml:space="preserve">vnuis-khcn-lap-ho-so-so-huu-tri-tue</t>
  </si>
  <si>
    <t xml:space="preserve">Soạn hồ sơ đăng ký sáng chế / giải pháp hữu ích tại Cục Sở hữu trí tuệ: tờ khai, bản mô tả, yêu cầu bảo hộ, bản tóm tắt, hình vẽ minh họa; đối chiếu tính mới và trình độ sáng tạo trong quá trình chuẩn bị. Dùng khi giảng viên, nhóm nghiên cứu muốn bảo hộ kết quả nghiên cứu. Bản riêng cho Trường Quốc tế – ĐHQGHN (VNU-IS).</t>
  </si>
  <si>
    <t xml:space="preserve">Dùng khi giảng viên, nhóm nghiên cứu muốn bảo hộ kết quả nghiên cứu bằng sáng chế hoặc giải pháp hữu ích tại Cục Sở hữu trí tuệ: tờ khai, bản mô tả, yêu cầu bảo hộ, hình vẽ.</t>
  </si>
  <si>
    <t xml:space="preserve">vnuis-khcn-quan-tri-tap-chi</t>
  </si>
  <si>
    <t xml:space="preserve">Quản trị quy trình tạp chí khoa học của VNU-IS: tiếp nhận bản thảo, bình duyệt kín, hiệu đính, xuất bản số, quản lý ISSN. Dùng cho Ban biên tập tạp chí khoa học khi vận hành từng số tạp chí. Bản riêng cho Trường Quốc tế – ĐHQGHN (VNU-IS).</t>
  </si>
  <si>
    <t xml:space="preserve">Dùng khi Ban biên tập tạp chí khoa học của trường vận hành một số tạp chí: nhận bản thảo, phân công phản biện, theo dõi bình duyệt, hiệu đính, xuất bản, quản lý ISSN.</t>
  </si>
  <si>
    <t xml:space="preserve">vnuis-khcn-soan-hop-dong-thuc-hien-de-tai</t>
  </si>
  <si>
    <t xml:space="preserve">Soạn hợp đồng thực hiện đề tài/nhiệm vụ khoa học công nghệ giữa bên giao (trường hoặc cơ quan quản lý) và bên nhận (chủ nhiệm đề tài). Dùng sau khi đề tài được phê duyệt, trước khi triển khai và cấp kinh phí. Dùng khi đề tài NCKH đã có quyết định phê duyệt và cần lập hợp đồng thực hiện. Bản riêng cho Trường Quốc tế – ĐHQGHN (VNU-IS).</t>
  </si>
  <si>
    <t xml:space="preserve">Dùng khi đề tài NCKH đã có quyết định phê duyệt và cần soạn hợp đồng giữa bên giao (trường hoặc cơ quan quản lý) và chủ nhiệm đề tài, trước khi triển khai và cấp kinh phí.</t>
  </si>
  <si>
    <t xml:space="preserve">vnuis-khcn-soan-thong-bao-dang-ky-de-tai</t>
  </si>
  <si>
    <t xml:space="preserve">Soạn thông báo đăng ký đề tài NCKH các cấp (cấp trường, cấp bộ/tỉnh, cấp nhà nước) đúng thể thức hành chính. Dùng khi Phòng KHCN&amp;HTPT triển khai đợt đăng ký đề tài NCKH hằng năm hoặc đột xuất cho cán bộ, giảng viên trong trường. Bản riêng cho Trường Quốc tế – ĐHQGHN (VNU-IS).</t>
  </si>
  <si>
    <t xml:space="preserve">Dùng khi Phòng KHCN&amp;HTPT mở đợt đăng ký đề tài NCKH (cấp trường, bộ/tỉnh, nhà nước) và cần soạn thông báo gửi các đơn vị: thời hạn, hồ sơ, định mức kinh phí, nơi nhận.</t>
  </si>
  <si>
    <t xml:space="preserve">vnuis-khcn-soan-thuyet-minh-de-tai</t>
  </si>
  <si>
    <t xml:space="preserve">Soạn thuyết minh đề tài nghiên cứu khoa học đầy đủ các mục bắt buộc: tính cấp thiết, mục tiêu, nội dung nghiên cứu, phương pháp, sản phẩm dự kiến, kinh phí chi tiết, tiến độ. Dùng khi chủ nhiệm đề tài chuẩn bị hồ sơ đăng ký hoặc thuyết trình trước hội đồng xét duyệt. Bản riêng cho Trường Quốc tế – ĐHQGHN (VNU-IS).</t>
  </si>
  <si>
    <t xml:space="preserve">Dùng khi chủ nhiệm đề tài chuẩn bị hồ sơ đăng ký hoặc bảo vệ trước hội đồng xét duyệt và cần soạn thuyết minh đề tài NCKH: tính cấp thiết, mục tiêu, nội dung, sản phẩm, kinh phí, tiến độ.</t>
  </si>
  <si>
    <t xml:space="preserve">vnuis-khcn-theo-doi-nguon-tai-tro</t>
  </si>
  <si>
    <t xml:space="preserve">Hỗ trợ quản lý nguồn tài trợ/tài trợ nghiên cứu: danh mục kiểm điều kiện tham gia, đối chiếu hồ sơ với yêu cầu của call, outline đề xuất, tracker mốc và sản phẩm bàn giao. Dùng chung cho PI, nhóm nghiên cứu, Phòng KHCN&amp;HTPT. Dùng khi chuẩn bị hồ sơ xin tài trợ nghiên cứu hoặc đang thực hiện nguồn tài trợ cần theo dõi mốc, kinh phí. Bản riêng cho Trường Quốc tế – ĐHQGHN (VNU-IS).</t>
  </si>
  <si>
    <t xml:space="preserve">Dùng khi nhóm nghiên cứu chuẩn bị hồ sơ xin tài trợ nghiên cứu hoặc đang thực hiện nguồn tài trợ và cần đối chiếu điều kiện của thông báo gọi đề xuất (call), theo dõi mốc, sản phẩm, kinh phí. Dùng chung mọi trường.</t>
  </si>
  <si>
    <t xml:space="preserve">vnuis-khcn-tong-quan-tai-lieu</t>
  </si>
  <si>
    <t xml:space="preserve">Tổng quan tài liệu khoa học (literature tổng quan) từ các tài liệu được cung cấp: trích xuất phương pháp/kết quả, lập ma trận so sánh, xác định khoảng trống nghiên cứu, trích dẫn chuẩn. Dùng chung cho mọi đơn vị làm nghiên cứu. Dùng khi viết phần tổng quan nghiên cứu cho đề tài, luận văn/luận án, bài báo. Bản riêng cho Trường Quốc tế – ĐHQGHN (VNU-IS).</t>
  </si>
  <si>
    <t xml:space="preserve">Dùng khi viết phần tổng quan nghiên cứu cho đề tài, luận văn, luận án hoặc bài báo từ tài liệu đã có: so sánh phương pháp và kết quả, tìm khoảng trống nghiên cứu, trích dẫn chuẩn. Dùng chung mọi đơn vị.</t>
  </si>
  <si>
    <t xml:space="preserve">vnuis-khoa-bao-cao-tong-ket-nam-hoc</t>
  </si>
  <si>
    <t xml:space="preserve">Soạn báo cáo tổng kết năm học của khoa/bộ môn VNU-IS: đào tạo, nghiên cứu khoa học, công tác sinh viên, đội ngũ, cơ sở vật chất. Dùng cuối mỗi năm học để báo cáo Ban Giám hiệu. Dùng khi kết thúc năm học và khoa cần tổng hợp hoạt động gửi Ban Giám hiệu. Bản riêng cho Trường Quốc tế – ĐHQGHN (VNU-IS).</t>
  </si>
  <si>
    <t xml:space="preserve">Dùng khi kết thúc năm học và khoa hoặc bộ môn cần tổng hợp đào tạo, NCKH, công tác sinh viên, đội ngũ, cơ sở vật chất thành báo cáo gửi Ban Giám hiệu.</t>
  </si>
  <si>
    <t xml:space="preserve">vnuis-khoa-ke-hoach-hoat-dong-trung-tam-thuc-hanh</t>
  </si>
  <si>
    <t xml:space="preserve">Lập kế hoạch hoạt động năm của trung tâm thực hành nghề nghiệp thuộc VNU-IS (VD: trung tâm thực hành pháp luật, phòng khám thực hành, xưởng thực hành): lịch thực hành mô phỏng, tiếp nhận vụ việc/ca thực tế, phân công giảng viên hướng dẫn, đánh giá sinh viên. Dùng đầu năm học. Dùng khi đầu năm học trung tâm thực hành cần lập kế hoạch hoạt động. Bản VNU-IS.</t>
  </si>
  <si>
    <t xml:space="preserve">Dùng đầu năm học khi trung tâm thực hành nghề nghiệp (thực hành pháp luật, sư phạm, phòng khám, xưởng) cần kế hoạch năm: lịch thực hành, tiếp nhận ca thực tế, phân công giảng viên, đánh giá sinh viên.</t>
  </si>
  <si>
    <t xml:space="preserve">vnuis-khoa-ke-hoach-nckh</t>
  </si>
  <si>
    <t xml:space="preserve">Lập kế hoạch nghiên cứu khoa học cấp khoa của VNU-IS trong năm học: đề tài các cấp, bài báo khoa học, hội thảo, giáo trình, hoạt động NCKH sinh viên. Dùng đầu mỗi năm học. Dùng khi đầu năm học khoa cần xây dựng kế hoạch nghiên cứu khoa học. Bản riêng cho Trường Quốc tế – ĐHQGHN (VNU-IS).</t>
  </si>
  <si>
    <t xml:space="preserve">Dùng đầu năm học khi khoa cần kế hoạch nghiên cứu khoa học cho giảng viên và sinh viên: đề tài, bài báo, hội thảo, giáo trình, làm căn cứ giao việc và đánh giá cuối năm.</t>
  </si>
  <si>
    <t xml:space="preserve">vnuis-khoa-tro-ly-giang-day</t>
  </si>
  <si>
    <t xml:space="preserve">Trợ lý giảng dạy: dự thảo kế hoạch bài giảng, gợi ý học liệu, xây dựng thang tiêu chí chấm đánh giá, soạn dự thảo phản hồi cho sinh viên. Giảng viên duyệt toàn bộ trước khi dùng — dùng chung cho mọi khoa/bộ môn. Dùng khi chuẩn bị bài giảng, xây dựng thang tiêu chí chấm hoặc soạn nhận xét phản hồi cho sinh viên. Bản riêng cho Trường Quốc tế – ĐHQGHN (VNU-IS).</t>
  </si>
  <si>
    <t xml:space="preserve">Dùng khi giảng viên chuẩn bị bài giảng, cần thang tiêu chí chấm hoặc soạn nhận xét phản hồi cho sinh viên. Dùng chung mọi khoa; giảng viên duyệt toàn bộ trước khi dùng.</t>
  </si>
  <si>
    <t xml:space="preserve">vnuis-nhansu-bao-cao-thi-dua-khen-thuong</t>
  </si>
  <si>
    <t xml:space="preserve">Soạn dự thảo báo cáo tổng kết công tác thi đua, khen thưởng từ quyết định và số liệu đã được xác nhận của VNU-IS. Dùng khi cần tổng hợp kết quả đã ban hành, đối chiếu nguồn và trình cán bộ phụ trách kiểm duyệt. Không dùng để chấm điểm, xếp hạng cá nhân hoặc quyết định người được khen thưởng. Bản riêng cho Trường Quốc tế – ĐHQGHN (VNU-IS).</t>
  </si>
  <si>
    <t xml:space="preserve">Dùng khi cần tổng hợp dự thảo báo cáo công tác thi đua, khen thưởng từ quyết định và số liệu đã xác nhận trong kỳ. Không dùng để chấm điểm, xếp hạng cá nhân hay quyết định người được khen.</t>
  </si>
  <si>
    <t xml:space="preserve">vnuis-nhansu-bao-cao-thong-ke-nhan-su</t>
  </si>
  <si>
    <t xml:space="preserve">Lập báo cáo thống kê nhân sự định kỳ của Trường Quốc tế – ĐHQGHN từ file Excel nhân sự đã xuất: kiểm tra dữ liệu, áp định nghĩa chỉ tiêu, lập bảng cơ cấu theo đơn vị, chức danh, trình độ, loại hợp đồng và đối chiếu nhu cầu nhân lực. Dùng khi Phòng Tổ chức và Quản trị lập báo cáo nhân sự tuần, quý, năm hoặc trả lời số liệu cơ cấu, biên chế.</t>
  </si>
  <si>
    <t xml:space="preserve">Dùng khi Phòng Tổ chức và Quản trị lập báo cáo nhân sự theo kỳ (tuần, quý, năm) hoặc theo yêu cầu ĐHQGHN, Ban Giám hiệu từ file Excel nhân sự: cơ cấu theo đơn vị, chức danh, trình độ, hợp đồng.</t>
  </si>
  <si>
    <t xml:space="preserve">vnuis-nhansu-de-an-vi-tri-viec-lam</t>
  </si>
  <si>
    <t xml:space="preserve">Xây dựng đề án vị trí việc làm của VNU-IS hoặc đơn vị trực thuộc theo căn cứ vị trí việc làm hiện hành (đối chiếu Nghị định 232/2026/NĐ-CP): danh mục vị trí việc làm, bản mô tả công việc, khung năng lực và số lượng người làm việc. Dùng khi cần rà soát, sắp xếp tổ chức bộ máy hoặc làm căn cứ tuyển dụng, bổ nhiệm, đánh giá viên chức. Bản riêng cho Trường Quốc tế – ĐHQGHN (VNU-IS).</t>
  </si>
  <si>
    <t xml:space="preserve">Dùng khi VNU-IS hoặc đơn vị trực thuộc cần xây dựng, rà soát đề án vị trí việc làm (đối chiếu Nghị định 232/2026/NĐ-CP): mô tả công việc, khung năng lực, số lượng người làm việc.</t>
  </si>
  <si>
    <t xml:space="preserve">vnuis-nhansu-ke-hoach-dao-tao-boi-duong-can-bo</t>
  </si>
  <si>
    <t xml:space="preserve">Lập kế hoạch đào tạo, bồi dưỡng cán bộ, giảng viên năm của VNU-IS (đối tượng, nội dung, hình thức, kinh phí, tiến độ). Dùng khi Phòng TC&amp;QT (nhân sự) tổng hợp nhu cầu bồi dưỡng để xây dựng kế hoạch năm trình Hiệu trưởng phê duyệt. Bản riêng cho Trường Quốc tế – ĐHQGHN (VNU-IS).</t>
  </si>
  <si>
    <t xml:space="preserve">Dùng khi Phòng TC&amp;QT tổng hợp nhu cầu các đơn vị để lập kế hoạch năm đào tạo, bồi dưỡng cán bộ, giảng viên trình Hiệu trưởng: đối tượng, nội dung, hình thức, kinh phí.</t>
  </si>
  <si>
    <t xml:space="preserve">vnuis-nhansu-lap-ho-so-de-nghi-khen-thuong</t>
  </si>
  <si>
    <t xml:space="preserve">Soạn bộ hồ sơ đề nghị khen thưởng các cấp (tờ trình, báo cáo thành tích cá nhân/tập thể, danh sách trích ngang). Dùng khi Phòng TC&amp;QT (nhân sự) tổng hợp, hoàn thiện hồ sơ đề nghị khen thưởng gửi Hội đồng thi đua – khen thưởng các cấp. Bản riêng cho Trường Quốc tế – ĐHQGHN (VNU-IS).</t>
  </si>
  <si>
    <t xml:space="preserve">Dùng khi cần đề nghị khen thưởng cá nhân hoặc tập thể lên Hội đồng thi đua – khen thưởng các cấp: tờ trình, báo cáo thành tích, danh sách trích ngang.</t>
  </si>
  <si>
    <t xml:space="preserve">vnuis-nhansu-lap-phieu-danh-gia-vien-chuc</t>
  </si>
  <si>
    <t xml:space="preserve">Lập phiếu tự đánh giá, xếp loại viên chức hằng năm theo Nghị định 233/2026/NĐ-CP, kèm hướng dẫn tiêu chí chấm điểm (chính trị tư tưởng, đạo đức lối sống, tác phong, ý thức kỷ luật, kết quả thực hiện chức trách nhiệm vụ). Dùng khi tổ chức đánh giá viên chức cuối năm tại các đơn vị. Bản riêng cho Trường Quốc tế – ĐHQGHN (VNU-IS).</t>
  </si>
  <si>
    <t xml:space="preserve">Dùng khi tổ chức đánh giá, xếp loại viên chức cuối năm (thường tháng 11–12) theo Nghị định 233/2026/NĐ-CP: phiếu tự đánh giá và hướng dẫn tiêu chí chấm.</t>
  </si>
  <si>
    <t xml:space="preserve">vnuis-nhansu-quy-trinh-bo-nhiem</t>
  </si>
  <si>
    <t xml:space="preserve">Danh mục kiểm và soạn trọn bộ hồ sơ bổ nhiệm / bổ nhiệm lại / miễn nhiệm cán bộ quản lý VNU-IS (trưởng, phó các đơn vị): tờ trình, biên bản lấy phiếu tín nhiệm, quyết định bổ nhiệm. Dùng khi kiện toàn nhân sự lãnh đạo, quản lý các khoa, phòng, trung tâm. Bản riêng cho Trường Quốc tế – ĐHQGHN (VNU-IS).</t>
  </si>
  <si>
    <t xml:space="preserve">Dùng khi Nhà trường bổ nhiệm mới, bổ nhiệm lại hoặc miễn nhiệm cán bộ quản lý (trưởng, phó khoa, phòng, ban, trung tâm) và cần danh mục kiểm các bước cùng bộ hồ sơ: tờ trình, biên bản lấy phiếu tín nhiệm, quyết định.</t>
  </si>
  <si>
    <t xml:space="preserve">vnuis-nhansu-quy-trinh-tuyen-dung</t>
  </si>
  <si>
    <t xml:space="preserve">Trọn gói quy trình tuyển dụng viên chức VNU-IS theo Nghị định 259/2026/NĐ-CP: xây dựng kế hoạch → thông báo tuyển dụng → tiếp nhận hồ sơ → xét tuyển → quyết định trúng tuyển → ký hợp đồng. Dùng khi trường cần tuyển mới viên chức (giảng viên, chuyên viên, kỹ thuật viên). Bản riêng cho Trường Quốc tế – ĐHQGHN (VNU-IS).</t>
  </si>
  <si>
    <t xml:space="preserve">Dùng khi Nhà trường có nhu cầu tuyển mới viên chức (giảng viên, chuyên viên, kỹ thuật viên) và cần triển khai trọn một đợt tuyển dụng theo Nghị định 259/2026/NĐ-CP, từ kế hoạch đến ký hợp đồng.</t>
  </si>
  <si>
    <t xml:space="preserve">vnuis-nhansu-soan-hop-dong-lam-viec</t>
  </si>
  <si>
    <t xml:space="preserve">Soạn hợp đồng làm việc đối với viên chức và hợp đồng lao động đối với người lao động trong VNU-IS, đầy đủ các điều khoản về công việc, thời hạn, tiền lương, quyền và nghĩa vụ hai bên. Dùng để chuẩn bị hợp đồng theo đối tượng và căn cứ hiện hành; hồ sơ ký lại hoặc chuyển loại hợp đồng chỉ xử lý khi có căn cứ và điều kiện chuyển tiếp cho phép. Bản riêng cho Trường Quốc tế – ĐHQGHN (VNU-IS).</t>
  </si>
  <si>
    <t xml:space="preserve">Dùng khi cần soạn hợp đồng làm việc cho viên chức (mới trúng tuyển, hết tập sự, ký lại, chuyển loại hợp đồng) hoặc hợp đồng lao động cho người lao động như bảo vệ, tạp vụ, lái xe.</t>
  </si>
  <si>
    <t xml:space="preserve">vnuis-nhansu-soan-quyet-dinh-cu-di-dao-tao</t>
  </si>
  <si>
    <t xml:space="preserve">Soạn quyết định cử cán bộ, viên chức, giảng viên đi đào tạo, bồi dưỡng, tập huấn trong và ngoài nước. Dùng khi Phòng TC&amp;QT (nhân sự) cử người đi học theo kế hoạch hoặc theo nhu cầu đột xuất, làm căn cứ chế độ, kinh phí. Bản riêng cho Trường Quốc tế – ĐHQGHN (VNU-IS).</t>
  </si>
  <si>
    <t xml:space="preserve">Dùng khi cần cử cán bộ, viên chức, giảng viên đi đào tạo, bồi dưỡng, tập huấn trong hoặc ngoài nước và ban hành quyết định làm căn cứ chế độ, kinh phí.</t>
  </si>
  <si>
    <t xml:space="preserve">vnuis-nhansu-soan-quyet-dinh-dieu-dong</t>
  </si>
  <si>
    <t xml:space="preserve">Soạn quyết định điều động, luân chuyển, biệt phái viên chức VNU-IS đúng thể thức Nghị định 30/2020/NĐ-CP. Dùng khi cần chuyển viên chức giữa các đơn vị trong trường, luân chuyển cán bộ quản lý, hoặc cử đi biệt phái thực hiện nhiệm vụ. Bản riêng cho Trường Quốc tế – ĐHQGHN (VNU-IS).</t>
  </si>
  <si>
    <t xml:space="preserve">Dùng khi cần ban hành quyết định điều động, luân chuyển hoặc biệt phái viên chức, cán bộ quản lý giữa các đơn vị, đúng thể thức Nghị định 30/2020/NĐ-CP.</t>
  </si>
  <si>
    <t xml:space="preserve">vnuis-nhansu-soan-quyet-dinh-khen-thuong-ky-luat-vien-chuc</t>
  </si>
  <si>
    <t xml:space="preserve">Soạn quyết định khen thưởng hoặc kỷ luật viên chức, người lao động của VNU-IS đúng thể thức Nghị định 30/2020/NĐ-CP. Dùng khi Hội đồng thi đua – khen thưởng / Hội đồng kỷ luật đã có kết luận và cần ban hành quyết định chính thức của Hiệu trưởng. Không dùng cho các quyết định hành chính khác (dùng vnuis-vp-soan-quyet-dinh-hanh-chinh). Bản riêng cho Trường Quốc tế – ĐHQGHN (VNU-IS).</t>
  </si>
  <si>
    <t xml:space="preserve">Dùng khi Hội đồng thi đua – khen thưởng hoặc Hội đồng kỷ luật đã có kết luận và cần ban hành quyết định chính thức của Hiệu trưởng về khen thưởng hoặc kỷ luật viên chức, người lao động.</t>
  </si>
  <si>
    <t xml:space="preserve">vnuis-nhansu-soan-quyet-dinh-nang-luong</t>
  </si>
  <si>
    <t xml:space="preserve">Soạn quyết định nâng bậc lương thường xuyên, nâng lương trước thời hạn, hưởng phụ cấp thâm niên vượt khung và chuyển ngạch/chuyển chức danh nghề nghiệp cho viên chức. Dùng khi đến kỳ xét nâng lương (quý I hằng năm), xét trước thời hạn do lập thành tích xuất sắc, hoặc viên chức đủ điều kiện chuyển ngạch. Bản riêng cho Trường Quốc tế – ĐHQGHN (VNU-IS).</t>
  </si>
  <si>
    <t xml:space="preserve">Dùng khi đến kỳ xét nâng bậc lương, nâng lương trước hạn, phụ cấp thâm niên vượt khung hoặc chuyển ngạch, chức danh nghề nghiệp cho viên chức và cần soạn quyết định.</t>
  </si>
  <si>
    <t xml:space="preserve">vnuis-nhansu-soan-thong-bao-tuyen-dung</t>
  </si>
  <si>
    <t xml:space="preserve">Soạn thông báo tuyển dụng viên chức VNU-IS đúng thể thức Nghị định 30/2020/NĐ-CP: vị trí, chỉ tiêu, tiêu chuẩn, hồ sơ, thời hạn, lệ phí. Dùng khi cần đăng thông báo tuyển dụng công khai sau khi kế hoạch tuyển dụng được phê duyệt. Bản riêng cho Trường Quốc tế – ĐHQGHN (VNU-IS).</t>
  </si>
  <si>
    <t xml:space="preserve">Dùng khi kế hoạch tuyển dụng viên chức đã được Hiệu trưởng phê duyệt và cần soạn thông báo đăng công khai: vị trí, chỉ tiêu, tiêu chuẩn, hồ sơ, thời hạn, lệ phí.</t>
  </si>
  <si>
    <t xml:space="preserve">vnuis-nhansu-tong-hop-danh-gia-vien-chuc</t>
  </si>
  <si>
    <t xml:space="preserve">Tổng hợp kết quả đánh giá, xếp loại viên chức hằng năm của toàn trường từ báo cáo các đơn vị: số lượng theo 4 mức xếp loại, phân tích theo khối đơn vị, nhận xét và kiến nghị. Dùng khi Phòng TC&amp;QT (nhân sự) báo cáo Ban Giám hiệu / cấp có thẩm quyền (C6) sau đợt đánh giá cuối năm. Bản riêng cho Trường Quốc tế – ĐHQGHN (VNU-IS).</t>
  </si>
  <si>
    <t xml:space="preserve">Dùng khi các đơn vị đã đánh giá viên chức xong (tháng 11–12) và Phòng TC&amp;QT cần tổng hợp toàn trường theo 4 mức xếp loại để báo cáo Ban Giám hiệu, cấp có thẩm quyền.</t>
  </si>
  <si>
    <t xml:space="preserve">vnuis-phapche-ke-hoach-thanh-tra-nam</t>
  </si>
  <si>
    <t xml:space="preserve">Lập kế hoạch thanh tra nội bộ năm của VNU-IS: xác định lĩnh vực thanh tra (đào tạo, tuyển sinh, thi cử, tài chính...), đối tượng, thời gian, đoàn thanh tra và phương pháp. Dùng khi Phòng TC&amp;QT (thanh tra – pháp chế) xây dựng kế hoạch thanh tra hằng năm trình Hiệu trưởng phê duyệt. Không dùng cho kế hoạch kiểm toán nội bộ (dùng ke-hoach-kiem-toan-noi-bo). Bản VNU-IS.</t>
  </si>
  <si>
    <t xml:space="preserve">Dùng khi Phòng TC&amp;QT lập kế hoạch thanh tra nội bộ hằng năm trình Hiệu trưởng: lĩnh vực, đối tượng, thời gian, đoàn thanh tra, kể cả điều chỉnh giữa năm.</t>
  </si>
  <si>
    <t xml:space="preserve">vnuis-phapche-soan-ket-luan-thanh-tra</t>
  </si>
  <si>
    <t xml:space="preserve">Soạn kết luận thanh tra sau khi kết thúc một cuộc thanh tra nội bộ: nêu căn cứ (quyết định thanh tra), nội dung đã thanh tra, nhận xét và đánh giá từng nội dung, kết luận chung, kiến nghị xử lý và khắc phục. Dùng khi Đoàn thanh tra hoàn tất xác minh và cần ban hành kết luận chính thức. Bản riêng cho Trường Quốc tế – ĐHQGHN (VNU-IS).</t>
  </si>
  <si>
    <t xml:space="preserve">Dùng khi Đoàn thanh tra đã xác minh xong một cuộc thanh tra nội bộ và cần ban hành kết luận chính thức: căn cứ, nhận xét từng nội dung, kết luận chung, kiến nghị xử lý.</t>
  </si>
  <si>
    <t xml:space="preserve">vnuis-phapche-soan-quy-che-to-chuc-hoat-dong-don-vi</t>
  </si>
  <si>
    <t xml:space="preserve">Soạn quy chế tổ chức và hoạt động của đơn vị trực thuộc VNU-IS (phòng, khoa, trung tâm, viện): chức năng, nhiệm vụ, cơ cấu tổ chức, chế độ làm việc và mối quan hệ công tác, đúng thể thức Nghị định 30/2020/NĐ-CP. Dùng khi thành lập mới, chia tách, sáp nhập hoặc rà soát, sửa đổi quy chế của đơn vị. Không dùng cho quy chế của cả trường (dùng quy-che-to-chuc-hoat-dong-truong). Bản VNU-IS.</t>
  </si>
  <si>
    <t xml:space="preserve">Dùng khi thành lập, chia tách, sáp nhập hoặc rà soát một đơn vị trực thuộc (phòng, khoa, trung tâm, viện) và cần soạn quy chế tổ chức và hoạt động của đơn vị đó.</t>
  </si>
  <si>
    <t xml:space="preserve">vnuis-phapche-soan-quyet-dinh-giai-quyet-khieu-nai</t>
  </si>
  <si>
    <t xml:space="preserve">Soạn quyết định giải quyết khiếu nại / tố cáo trong VNU-IS: tóm tắt đơn, quá trình xác minh, căn cứ pháp lý (Luật Khiếu nại 2011, Luật Tố cáo 2018), nội dung quyết định (giữ nguyên / sửa đổi / hủy bỏ / công nhận / bác) và quyền khiếu nại tiếp, khởi kiện. Dùng khi Hiệu trưởng giải quyết khiếu nại lần đầu hoặc tố cáo thuộc thẩm quyền. Bản riêng cho Trường Quốc tế – ĐHQGHN (VNU-IS).</t>
  </si>
  <si>
    <t xml:space="preserve">Dùng khi Hiệu trưởng giải quyết khiếu nại lần đầu hoặc tố cáo thuộc thẩm quyền, đã xác minh đầy đủ và cần soạn quyết định theo Luật Khiếu nại 2011, Luật Tố cáo 2018.</t>
  </si>
  <si>
    <t xml:space="preserve">vnuis-phapche-tham-dinh-phap-ly-van-ban</t>
  </si>
  <si>
    <t xml:space="preserve">Cho ý kiến pháp lý về dự thảo văn bản nội bộ của Trường: kiểm tra thẩm quyền ban hành, căn cứ pháp lý, tính thống nhất với văn bản cấp trên và văn bản nội bộ hiện hành, thể thức theo Nghị định 30/2020/NĐ-CP. Dùng khi đơn vị trình dự thảo văn bản nội bộ cần ý kiến pháp lý. Kết quả: phiếu ý kiến pháp lý một trong ba mức (đồng ý / đồng ý có điều kiện / không đồng ý kèm lý do). Bản VNU-IS.</t>
  </si>
  <si>
    <t xml:space="preserve">Dùng khi một đơn vị trình dự thảo văn bản nội bộ (quy định, quy chế, hướng dẫn) và cần ý kiến pháp lý về thẩm quyền, căn cứ, tính thống nhất, thể thức trước khi Hiệu trưởng ký.</t>
  </si>
  <si>
    <t xml:space="preserve">vnuis-phapche-theo-doi-thay-doi-van-ban-phap-quy</t>
  </si>
  <si>
    <t xml:space="preserve">Theo dõi thay đổi văn bản pháp quy: so sánh điều khoản cũ/mới, đánh dấu giữ nguyên–sửa đổi–bãi bỏ–bổ sung, lập ma trận nghĩa vụ thay đổi và danh mục kiểm cập nhật nội bộ. Dùng chung cho mọi đơn vị. Dùng khi có văn bản pháp quy mới thay thế hoặc sửa đổi văn bản đang áp dụng và cần đánh giá tác động. Bản riêng cho Trường Quốc tế – ĐHQGHN (VNU-IS).</t>
  </si>
  <si>
    <t xml:space="preserve">Dùng khi có văn bản pháp quy mới thay thế hoặc sửa đổi văn bản đang áp dụng và cần so sánh điều khoản cũ – mới, đánh giá tác động, lập danh mục cập nhật nội bộ. Dùng chung mọi đơn vị.</t>
  </si>
  <si>
    <t xml:space="preserve">vnuis-sdh-bao-cao-dao-tao</t>
  </si>
  <si>
    <t xml:space="preserve">Soạn báo cáo công tác đào tạo sau đại học hằng năm của VNU-IS: tổng hợp tuyển sinh SĐH, quy mô học viên/NCS theo ngành, tiến độ bảo vệ, văn bằng đã cấp, đội ngũ hướng dẫn, cùng khó khăn và kiến nghị. Dùng khi Phòng Đào tạo (sau đại học) cần báo cáo tổng kết năm gửi Ban Giám hiệu và Bộ GD&amp;ĐT. Bản riêng cho Trường Quốc tế – ĐHQGHN (VNU-IS).</t>
  </si>
  <si>
    <t xml:space="preserve">Dùng khi Phòng Đào tạo (sau đại học) tổng kết năm về đào tạo thạc sĩ, tiến sĩ để báo cáo Ban Giám hiệu, Bộ GD&amp;ĐT: tuyển sinh, quy mô, tiến độ bảo vệ, văn bằng, đội ngũ hướng dẫn.</t>
  </si>
  <si>
    <t xml:space="preserve">vnuis-sdh-ke-hoach-dao-tao</t>
  </si>
  <si>
    <t xml:space="preserve">Lập kế hoạch đào tạo sau đại học theo dõi tiến độ học viên cao học và nghiên cứu sinh: khung thời gian toàn khóa, các mốc học học phần, bảo vệ đề cương, seminar, bảo vệ luận văn/luận án, phân công người hướng dẫn và theo dõi định kỳ. Dùng khi Phòng Đào tạo (sau đại học) quản lý tiến độ từng khóa/lớp cao học, NCS. Bản riêng cho Trường Quốc tế – ĐHQGHN (VNU-IS).</t>
  </si>
  <si>
    <t xml:space="preserve">Dùng khi Phòng Đào tạo (sau đại học) cần kế hoạch và theo dõi tiến độ cho một khóa cao học hoặc một nghiên cứu sinh: mốc học phần, đề cương, seminar, bảo vệ, người hướng dẫn.</t>
  </si>
  <si>
    <t xml:space="preserve">vnuis-sdh-lap-bien-ban-bao-ve-luan-van</t>
  </si>
  <si>
    <t xml:space="preserve">Lập biên bản buổi bảo vệ luận văn thạc sĩ / luận án tiến sĩ: ghi nhận thành phần hội đồng, diễn biến buổi bảo vệ, tổng hợp phiếu đánh giá và điểm, kết luận đạt/không đạt cùng yêu cầu chỉnh sửa. Dùng ngay sau khi kết thúc buổi bảo vệ để làm căn cứ ra quyết định công nhận tốt nghiệp. Dùng khi ngay sau buổi bảo vệ luận văn thạc sĩ hoặc luận án tiến sĩ. Bản riêng cho Trường Quốc tế – ĐHQGHN (VNU-IS).</t>
  </si>
  <si>
    <t xml:space="preserve">Dùng ngay sau buổi bảo vệ luận văn thạc sĩ hoặc luận án tiến sĩ, khi thư ký hội đồng cần lập biên bản: diễn biến, phiếu đánh giá, kết luận đạt hay không, yêu cầu chỉnh sửa.</t>
  </si>
  <si>
    <t xml:space="preserve">vnuis-sdh-soan-quyet-dinh-hoi-dong-bao-ve</t>
  </si>
  <si>
    <t xml:space="preserve">Soạn quyết định thành lập hội đồng đánh giá luận văn thạc sĩ / luận án tiến sĩ đúng thể thức Nghị định 30/2020/NĐ-CP. Dùng khi học viên cao học hoặc nghiên cứu sinh đủ điều kiện bảo vệ và cần thành lập hội đồng chấm theo tiêu chuẩn quy định. Bản riêng cho Trường Quốc tế – ĐHQGHN (VNU-IS).</t>
  </si>
  <si>
    <t xml:space="preserve">Dùng khi học viên cao học hoặc nghiên cứu sinh đã đủ điều kiện bảo vệ và cần ban hành quyết định thành lập hội đồng đánh giá luận văn, luận án, đúng thể thức Nghị định 30/2020/NĐ-CP.</t>
  </si>
  <si>
    <t xml:space="preserve">vnuis-sdh-soan-thong-bao-tuyen-sinh</t>
  </si>
  <si>
    <t xml:space="preserve">Soạn thông báo tuyển sinh trình độ thạc sĩ và tiến sĩ: chỉ tiêu từng ngành, điều kiện dự tuyển (văn bằng, kinh nghiệm, ngoại ngữ), hồ sơ, hình thức tuyển (xét tuyển/thi tuyển), thời gian đào tạo và học phí. Dùng khi Phòng Đào tạo (sau đại học) công bố tuyển sinh sau đại học hằng năm/đợt. Không dùng cho tuyển sinh đại học (dùng vnuis-ts-soan-thong-bao-tuyen-sinh-dai-hoc). Bản VNU-IS.</t>
  </si>
  <si>
    <t xml:space="preserve">Dùng khi Phòng Đào tạo (sau đại học) công bố tuyển sinh thạc sĩ, tiến sĩ cho từng đợt: chỉ tiêu ngành, điều kiện dự tuyển, hồ sơ, hình thức tuyển, học phí.</t>
  </si>
  <si>
    <t xml:space="preserve">vnuis-taichinh-bao-cao-cong-khai-tai-chinh</t>
  </si>
  <si>
    <t xml:space="preserve">Soạn báo cáo công khai tài chính của VNU-IS để minh bạch ngân sách, gắn với 3 công khai theo Thông tư 09/2024/TT-BGDĐT. Dùng khi Phòng TC&amp;QT (kế hoạch – tài chính) cần công bố học phí, tổng thu – chi, chi cho người học và kết quả kiểm toán trên cổng thông tin điện tử. Không dùng cho báo cáo tài chính năm theo chế độ kế toán (dùng vnuis-taichinh-bao-cao-tai-chinh). Bản VNU-IS.</t>
  </si>
  <si>
    <t xml:space="preserve">Dùng khi Phòng TC&amp;QT cần công bố công khai tài chính trên cổng thông tin điện tử (học phí, tổng thu – chi, chi cho người học, kiểm toán) theo Thông tư 09/2024/TT-BGDĐT.</t>
  </si>
  <si>
    <t xml:space="preserve">vnuis-taichinh-bao-cao-quyet-toan</t>
  </si>
  <si>
    <t xml:space="preserve">Soạn báo cáo quyết toán ngân sách năm của VNU-IS, so sánh dự toán với thực hiện và giải trình chênh lệch. Dùng khi Phòng TC&amp;QT (kế hoạch – tài chính) tổng kết tình hình thu – chi ngân sách đã kết thúc năm để trình duyệt quyết toán. Bản riêng cho Trường Quốc tế – ĐHQGHN (VNU-IS).</t>
  </si>
  <si>
    <t xml:space="preserve">Dùng khi kết thúc năm ngân sách và Phòng TC&amp;QT cần báo cáo quyết toán trình duyệt: đối chiếu dự toán với thực hiện, giải trình chênh lệch lớn, kiến nghị năm sau.</t>
  </si>
  <si>
    <t xml:space="preserve">vnuis-taichinh-bao-cao-tai-chinh</t>
  </si>
  <si>
    <t xml:space="preserve">Lập báo cáo tài chính năm của VNU-IS theo chế độ kế toán hành chính sự nghiệp (Thông tư 24/2024/TT-BTC). Dùng khi Phòng TC&amp;QT (kế hoạch – tài chính) khóa sổ năm và lập bộ báo cáo tài chính gồm Bảng cân đối kế toán, Báo cáo kết quả hoạt động và Báo cáo lưu chuyển tiền tệ. Không dùng cho báo cáo công khai tài chính (dùng vnuis-taichinh-bao-cao-cong-khai-tai-chinh). Bản VNU-IS.</t>
  </si>
  <si>
    <t xml:space="preserve">Dùng khi khóa sổ năm và Phòng TC&amp;QT lập bộ báo cáo tài chính theo chế độ kế toán hành chính sự nghiệp (Thông tư 24/2024/TT-BTC): cân đối kế toán, kết quả hoạt động, lưu chuyển tiền tệ, thuyết minh.</t>
  </si>
  <si>
    <t xml:space="preserve">vnuis-taichinh-kiem-tra-chung-tu-thanh-toan</t>
  </si>
  <si>
    <t xml:space="preserve">Lập danh mục kiểm chứng từ thanh toán cho từng loại chi của VNU-IS (lương, học bổng, đề tài NCKH, mua sắm, công tác phí, tiếp khách – hội nghị). Dùng khi Phòng TC&amp;QT (kế hoạch – tài chính) kiểm soát tính đầy đủ, hợp lệ của bộ chứng từ trước khi chi tiền. Bản riêng cho Trường Quốc tế – ĐHQGHN (VNU-IS).</t>
  </si>
  <si>
    <t xml:space="preserve">Dùng khi Phòng TC&amp;QT kiểm soát bộ chứng từ của một khoản chi (lương, học bổng, đề tài, mua sắm, công tác phí, hội nghị) trước khi trình ký chi tiền.</t>
  </si>
  <si>
    <t xml:space="preserve">vnuis-taichinh-lap-du-toan-nam</t>
  </si>
  <si>
    <t xml:space="preserve">Lập dự toán thu – chi ngân sách năm của VNU-IS, cân đối thu = chi trước khi trình duyệt. Dùng khi Phòng TC&amp;QT (kế hoạch – tài chính) xây dựng kế hoạch ngân sách năm học/năm tài chính mới từ số liệu các nguồn thu và nội dung chi. Bản riêng cho Trường Quốc tế – ĐHQGHN (VNU-IS).</t>
  </si>
  <si>
    <t xml:space="preserve">Dùng khi Phòng TC&amp;QT xây dựng dự toán thu – chi ngân sách cho năm học hoặc năm tài chính mới, cân đối thu bằng chi và trình cấp có thẩm quyền duyệt.</t>
  </si>
  <si>
    <t xml:space="preserve">vnuis-taichinh-phan-tich-chenh-lech-ngan-sach</t>
  </si>
  <si>
    <t xml:space="preserve">Phân tích chênh lệch ngân sách bằng cách đối chiếu dự toán với thực hiện theo từng mục: tính variance, đánh dấu vượt ngưỡng, phân loại nguyên nhân, dự thảo giải trình. Dùng chung cho mọi đơn vị có ngân sách. Dùng khi cuối quý/năm hoặc cần giải trình chênh lệch giữa dự toán và thực hiện. Bản riêng cho Trường Quốc tế – ĐHQGHN (VNU-IS).</t>
  </si>
  <si>
    <t xml:space="preserve">Dùng cuối quý hoặc năm khi cần đối chiếu dự toán với thực hiện theo từng mục, tìm khoản vượt ngưỡng, phân loại nguyên nhân và dự thảo giải trình. Dùng chung mọi đơn vị có ngân sách.</t>
  </si>
  <si>
    <t xml:space="preserve">vnuis-taichinh-soan-thong-bao-muc-thu-hoc-phi</t>
  </si>
  <si>
    <t xml:space="preserve">Soạn thông báo mức thu học phí / lệ phí năm học của VNU-IS đúng thể thức văn bản hành chính. Dùng khi Phòng TC&amp;QT (kế hoạch – tài chính) cần công bố công khai mức thu học phí theo khối ngành và hệ đào tạo (chính quy, vừa làm vừa học) cho sinh viên, giảng viên và các đơn vị. Bản riêng cho Trường Quốc tế – ĐHQGHN (VNU-IS).</t>
  </si>
  <si>
    <t xml:space="preserve">Dùng khi ban hành hoặc cập nhật mức thu học phí, lệ phí năm học mới theo khối ngành và hệ đào tạo (chính quy, vừa làm vừa học), kèm thời hạn và hình thức nộp.</t>
  </si>
  <si>
    <t xml:space="preserve">vnuis-thuvien-bao-cao-cong-tac</t>
  </si>
  <si>
    <t xml:space="preserve">Soạn báo cáo tổng kết công tác thư viện VNU-IS: vốn tài liệu, phục vụ bạn đọc, số hóa, cơ sở dữ liệu điện tử. Dùng cuối năm học hoặc khi báo cáo kiểm định (minh chứng CSVC, học liệu). Dùng khi kết thúc năm học và thư viện cần tổng kết hoạt động phục vụ bạn đọc, phát triển vốn tài liệu. Bản riêng cho Trường Quốc tế – ĐHQGHN (VNU-IS).</t>
  </si>
  <si>
    <t xml:space="preserve">Dùng khi kết thúc năm học và thư viện cần báo cáo tổng kết: vốn tài liệu, phục vụ bạn đọc, số hóa, cơ sở dữ liệu điện tử; cũng dùng làm minh chứng học liệu cho kiểm định.</t>
  </si>
  <si>
    <t xml:space="preserve">vnuis-thuvien-ke-hoach-bo-sung-hoc-lieu</t>
  </si>
  <si>
    <t xml:space="preserve">Lập kế hoạch bổ sung và số hóa học liệu của thư viện VNU-IS theo nhu cầu đào tạo của các khoa: sách, giáo trình, cơ sở dữ liệu điện tử, tài liệu số hóa. Dùng khi xây dựng kế hoạch phát triển vốn tài liệu hằng năm. Bản riêng cho Trường Quốc tế – ĐHQGHN (VNU-IS).</t>
  </si>
  <si>
    <t xml:space="preserve">Dùng khi thư viện lập kế hoạch năm mua sắm, tiếp nhận và số hóa học liệu (sách, giáo trình, cơ sở dữ liệu điện tử) theo nhu cầu đào tạo, nghiên cứu của các khoa.</t>
  </si>
  <si>
    <t xml:space="preserve">vnuis-ts-bao-cao-ket-qua-tuyen-sinh</t>
  </si>
  <si>
    <t xml:space="preserve">Tổng hợp và soạn báo cáo kết quả tuyển sinh đại học gửi cơ quan tiếp nhận (ĐHQGHN hoặc Bộ GD&amp;ĐT): số lượng đăng ký/trúng tuyển/nhập học theo từng phương thức và từng ngành, so sánh với chỉ tiêu, phân tích điểm chuẩn, khó khăn và kiến nghị. Dùng khi kết thúc đợt tuyển sinh và Phòng Đào tạo cần báo cáo kết quả gửi cơ quan quản lý. Bản riêng cho Trường Quốc tế – ĐHQGHN (VNU-IS).</t>
  </si>
  <si>
    <t xml:space="preserve">Dùng khi kết thúc đợt tuyển sinh đại học và Phòng Đào tạo cần báo cáo ĐHQGHN hoặc Bộ GD&amp;ĐT: số đăng ký, trúng tuyển, nhập học theo phương thức và ngành, so chỉ tiêu, điểm chuẩn.</t>
  </si>
  <si>
    <t xml:space="preserve">vnuis-ts-de-bai-chien-dich-tuyen-sinh</t>
  </si>
  <si>
    <t xml:space="preserve">Soạn bản yêu cầu chiến dịch tuyển sinh: mục tiêu, đối tượng, thông điệp, kênh, ngân sách, chỉ số đánh giá, timeline. Dùng trước mỗi đợt chiến dịch để thống nhất toàn nhóm và trình duyệt. Dùng khi trước mỗi đợt chiến dịch tuyển sinh cần một bản yêu cầu thống nhất để triển khai và trình duyệt. Bản riêng cho Trường Quốc tế – ĐHQGHN (VNU-IS).</t>
  </si>
  <si>
    <t xml:space="preserve">Dùng trước mỗi đợt chiến dịch tuyển sinh (mở đợt, cao điểm, xét tuyển bổ sung) khi cần một bản yêu cầu thống nhất cho cả nhóm và trình lãnh đạo: mục tiêu, đối tượng, thông điệp, kênh, ngân sách, chỉ số.</t>
  </si>
  <si>
    <t xml:space="preserve">vnuis-ts-hoi-dap-tuyen-sinh</t>
  </si>
  <si>
    <t xml:space="preserve">Xây dựng bộ hỏi đáp tuyển sinh theo quy chế/đề án tuyển sinh: mỗi câu trả lời trích nguồn văn bản và ghi rõ năm áp dụng. Dùng cho website, chatbot, tư vấn viên. Bản riêng cho Trường Quốc tế – ĐHQGHN (VNU-IS).</t>
  </si>
  <si>
    <t xml:space="preserve">Dùng khi cần bộ hỏi đáp tuyển sinh cho website, chatbot hoặc tư vấn viên về phương thức, chỉ tiêu, học phí, học bổng, hồ sơ; mỗi câu trả lời trích nguồn và năm áp dụng.</t>
  </si>
  <si>
    <t xml:space="preserve">vnuis-ts-kich-ban-tu-van-tuyen-sinh</t>
  </si>
  <si>
    <t xml:space="preserve">Xây dựng kịch bản tư vấn tuyển sinh và hướng nghiệp theo từng đối tượng (học sinh THPT, phụ huynh): câu hỏi thường gặp, câu trả lời chuẩn có số liệu, kỹ thuật xử lý từ chối và chốt hành động. Dùng khi chuẩn bị đội ngũ tư vấn cho ngày hội, livestream, tư vấn tại trường THPT, hotline/fanpage mùa tuyển sinh. Bản riêng cho Trường Quốc tế – ĐHQGHN (VNU-IS).</t>
  </si>
  <si>
    <t xml:space="preserve">Dùng trước mùa tuyển sinh khi cần kịch bản cho đội tư vấn (ngày hội, livestream, tư vấn tại trường THPT, hotline, fanpage) theo từng đối tượng học sinh, phụ huynh.</t>
  </si>
  <si>
    <t xml:space="preserve">vnuis-ts-ra-soat-nhat-quan-thong-tin</t>
  </si>
  <si>
    <t xml:space="preserve">Rà soát tính nhất quán của thông tin tuyển sinh giữa brochure, nội dung website, hỏi đáp, thông báo và quy chế của Trường Quốc tế – ĐHQGHN: số chương trình, chỉ tiêu, phương thức, học phí, học bổng, điều kiện tiếng Anh, mã chương trình, mốc thời gian, tên chương trình Việt và Anh. Dùng khi chuẩn bị phát hành tài liệu tuyển sinh hoặc cập nhật website.</t>
  </si>
  <si>
    <t xml:space="preserve">Dùng khi chuẩn bị mùa tuyển sinh, phát hành brochure, cập nhật website hay nền tảng AI tư vấn, hoặc khi hai tài liệu nêu số liệu khác nhau: đối chiếu chỉ tiêu, phương thức, học phí, học bổng, mã chương trình, mốc thời gian.</t>
  </si>
  <si>
    <t xml:space="preserve">vnuis-ts-soan-de-an-tuyen-sinh</t>
  </si>
  <si>
    <t xml:space="preserve">Soạn đề án tuyển sinh đại học hằng năm của trường: xác định chỉ tiêu theo năng lực đào tạo, liệt kê phương thức xét tuyển, tổ hợp môn, ngưỡng đảm bảo chất lượng đầu vào từng ngành, chính sách ưu tiên, lệ phí và tiến độ. Dùng khi Phòng Đào tạo xây dựng đề án tuyển sinh trình Hiệu trưởng/Bộ GD&amp;ĐT đầu năm. Bản riêng cho Trường Quốc tế – ĐHQGHN (VNU-IS).</t>
  </si>
  <si>
    <t xml:space="preserve">Dùng đầu năm khi Phòng Đào tạo xây dựng hoặc điều chỉnh đề án tuyển sinh đại học chính quy trình Hiệu trưởng, Bộ GD&amp;ĐT: chỉ tiêu theo năng lực đào tạo, phương thức, tổ hợp môn, ngưỡng đầu vào, chính sách ưu tiên.</t>
  </si>
  <si>
    <t xml:space="preserve">vnuis-ts-soan-thong-bao-tuyen-sinh-dai-hoc</t>
  </si>
  <si>
    <t xml:space="preserve">Soạn thông báo tuyển sinh đại học theo từng phương thức xét tuyển, rút trích từ đề án đã duyệt: đối tượng, điều kiện, hồ sơ, thời gian, lệ phí, địa chỉ nộp và link đăng ký. Dùng khi Phòng Đào tạo cần công bố thông tin tuyển sinh từng đợt/phương thức trên website và các kênh truyền thông. Không dùng cho tuyển sinh thạc sĩ/tiến sĩ (dùng vnuis-sdh-soan-thong-bao-tuyen-sinh). Bản VNU-IS.</t>
  </si>
  <si>
    <t xml:space="preserve">Dùng khi Phòng Đào tạo công bố thông tin tuyển sinh đại học cho một phương thức xét tuyển hoặc một đợt bổ sung, rút từ đề án đã duyệt: đối tượng, điều kiện, hồ sơ, thời gian, lệ phí.</t>
  </si>
  <si>
    <t xml:space="preserve">vnuis-ts-theo-doi-pheu-thi-sinh</t>
  </si>
  <si>
    <t xml:space="preserve">Theo dõi thí sinh theo phễu tuyển sinh: nhóm thí sinh tiềm năng theo giai đoạn (biết đến → quan tâm → nộp hồ sơ → trúng tuyển → nhập học), danh mục kiểm hồ sơ, báo cáo tỉ lệ chuyển đổi. Dùng trong suốt chiến dịch tuyển sinh. Dùng khi trong chiến dịch tuyển sinh cần quản lý thí sinh tiềm năng theo từng giai đoạn phễu. Bản riêng cho Trường Quốc tế – ĐHQGHN (VNU-IS).</t>
  </si>
  <si>
    <t xml:space="preserve">Dùng trong chiến dịch tuyển sinh khi cần quản lý thí sinh tiềm năng theo từng giai đoạn (biết đến, quan tâm, nộp hồ sơ, trúng tuyển, nhập học), đôn đốc hồ sơ và báo cáo tỷ lệ chuyển đổi.</t>
  </si>
  <si>
    <t xml:space="preserve">vnuis-tt-bo-tai-lieu-bao-chi-su-kien</t>
  </si>
  <si>
    <t xml:space="preserve">Soạn bộ press kit sự kiện: thông cáo báo chí, fact sheet, tiểu sử diễn giả, ảnh, thông tin liên hệ báo chí. Dùng trước và trong các sự kiện lớn của trường. Dùng khi tổ chức sự kiện cần mời báo chí đưa tin. Bản riêng cho Trường Quốc tế – ĐHQGHN (VNU-IS).</t>
  </si>
  <si>
    <t xml:space="preserve">Dùng khi tổ chức sự kiện lớn cần mời báo chí (khai giảng, kỷ niệm, hội thảo, ký kết, ngày hội tuyển sinh) và cần bộ tài liệu báo chí (press kit): thông cáo, thông tin tóm tắt, tiểu sử diễn giả, đầu mối liên hệ.</t>
  </si>
  <si>
    <t xml:space="preserve">vnuis-tt-dich-song-ngu-va-thuat-ngu</t>
  </si>
  <si>
    <t xml:space="preserve">Dịch Việt–Anh (và ngược lại) văn bản của trường, kiểm soát thuật ngữ theo glossary (kể cả danh sách không-dịch), đối chiếu số liệu/tên riêng giữa hai bản → bản song ngữ + vấn đề list. Dùng chung cho MOU, thông báo tuyển sinh, văn bằng, website... Dùng khi cần bản tiếng Anh (hoặc tiếng Việt) của văn bản trường học. Bản riêng cho Trường Quốc tế – ĐHQGHN (VNU-IS).</t>
  </si>
  <si>
    <t xml:space="preserve">Dùng khi cần bản tiếng Anh (hoặc tiếng Việt) của văn bản trường học như MOU, thông báo tuyển sinh, văn bằng, nội dung website, hồ sơ kiểm định: dịch theo bảng thuật ngữ, đối chiếu số liệu và tên riêng.</t>
  </si>
  <si>
    <t xml:space="preserve">vnuis-tt-ke-hoach-hoat-dong-bao-chi</t>
  </si>
  <si>
    <t xml:space="preserve">Lập kế hoạch hoạt động báo chí của cơ quan báo chí thuộc VNU-IS (báo in, tạp chí nội bộ, bản tin): số kỳ xuất bản, chuyên mục, phân công biên tập, kế hoạch bài vở theo năm. Dùng cho tòa soạn/ban biên tập khi xây dựng kế hoạch năm. Bản riêng cho Trường Quốc tế – ĐHQGHN (VNU-IS).</t>
  </si>
  <si>
    <t xml:space="preserve">Dùng đầu năm khi tòa soạn hoặc ban biên tập của báo in, tạp chí nội bộ, bản tin điện tử của trường lập kế hoạch năm: số kỳ, chuyên mục, phân công biên tập, dự toán.</t>
  </si>
  <si>
    <t xml:space="preserve">vnuis-tt-ke-hoach-quan-tri-thuong-hieu</t>
  </si>
  <si>
    <t xml:space="preserve">Lập kế hoạch quản trị thương hiệu VNU-IS: định vị thương hiệu, chuẩn hóa bộ nhận diện, giám sát hình ảnh và kịch bản xử lý khủng hoảng truyền thông. Dùng khi Phòng Truyền thông và Tuyển sinh (hoặc đơn vị phụ trách thương hiệu) xây dựng kế hoạch năm/quý. Bản riêng cho Trường Quốc tế – ĐHQGHN (VNU-IS).</t>
  </si>
  <si>
    <t xml:space="preserve">Dùng khi đơn vị phụ trách truyền thông lập kế hoạch quản trị thương hiệu năm hoặc quý, hoặc củng cố hình ảnh sau sự kiện, chiến dịch lớn: định vị, bộ nhận diện, giám sát hình ảnh, xử lý khủng hoảng truyền thông.</t>
  </si>
  <si>
    <t xml:space="preserve">vnuis-tt-ke-hoach-to-chuc-su-kien</t>
  </si>
  <si>
    <t xml:space="preserve">Kế hoạch tổ chức sự kiện trong VNU-IS: timeline ngược, danh mục kiểm theo giai đoạn, phân công RACI, kịch bản run-of-show chi tiết, dự toán và mẫu báo cáo sau sự kiện. Dùng chung cho mọi đơn vị. Dùng khi tổ chức hội nghị, hội thảo, lễ khai giảng/bế giảng, ngày hội việc làm, lễ kỷ niệm. Bản riêng cho Trường Quốc tế – ĐHQGHN (VNU-IS).</t>
  </si>
  <si>
    <t xml:space="preserve">Dùng khi bất kỳ đơn vị nào tổ chức hội nghị, hội thảo, lễ khai giảng hoặc bế giảng, ngày hội việc làm, lễ kỷ niệm và cần kế hoạch: tiến độ lùi từ ngày diễn ra, phân công, kịch bản chi tiết, dự toán, báo cáo sau sự kiện.</t>
  </si>
  <si>
    <t xml:space="preserve">vnuis-tt-ke-hoach-truyen-thong-nam</t>
  </si>
  <si>
    <t xml:space="preserve">Lập kế hoạch truyền thông năm của VNU-IS: mục tiêu, thông điệp chủ đạo, kênh truyền thông, lịch chiến dịch theo đợt tuyển sinh/sự kiện, chỉ số đánh giá đo lường. Dùng khi xây dựng kế hoạch năm hoặc điều chỉnh giữa năm. Bản riêng cho Trường Quốc tế – ĐHQGHN (VNU-IS).</t>
  </si>
  <si>
    <t xml:space="preserve">Dùng khi Phòng Truyền thông và Tuyển sinh lập hoặc điều chỉnh kế hoạch truyền thông năm học: mục tiêu, thông điệp, kênh, lịch chiến dịch theo đợt tuyển sinh và sự kiện, ngân sách, chỉ số đánh giá.</t>
  </si>
  <si>
    <t xml:space="preserve">vnuis-tt-kich-ban-khanh-tiet</t>
  </si>
  <si>
    <t xml:space="preserve">Xây dựng kịch bản lễ tân, khánh tiết cho sự kiện của VNU-IS (đón tiếp đại biểu, điều hành chương trình theo timeline, phân công hậu cần). Dùng khi Phòng TC&amp;QT (văn phòng – văn thư) tổ chức lễ khai giảng, kỷ niệm, hội nghị, đón đoàn khách. Bản riêng cho Trường Quốc tế – ĐHQGHN (VNU-IS).</t>
  </si>
  <si>
    <t xml:space="preserve">Dùng khi Phòng TC&amp;QT tổ chức lễ khai giảng, kỷ niệm, hội nghị hoặc đón đoàn khách và cần kịch bản lễ tân, khánh tiết: đón đại biểu, điều hành chương trình theo giờ, phân công hậu cần.</t>
  </si>
  <si>
    <t xml:space="preserve">vnuis-tt-kich-ban-video</t>
  </si>
  <si>
    <t xml:space="preserve">Viết kịch bản video truyền thông từng cảnh: hình ảnh, lời thoại/voice-over, âm thanh, thời lượng, yêu cầu quay dựng. Dùng cho video giới thiệu trường, tuyển sinh, sự kiện. Bản riêng cho Trường Quốc tế – ĐHQGHN (VNU-IS).</t>
  </si>
  <si>
    <t xml:space="preserve">Dùng khi cần kịch bản video truyền thông theo từng cảnh (giới thiệu trường, ngành, quảng bá tuyển sinh, tóm tắt sự kiện, phỏng vấn, video ngắn TikTok/Reels): hình ảnh, lời thoại, âm thanh, thời lượng.</t>
  </si>
  <si>
    <t xml:space="preserve">vnuis-tt-lap-lich-noi-dung</t>
  </si>
  <si>
    <t xml:space="preserve">Lập nội dung calendar truyền thông theo tuần/tháng: chủ đề, định dạng, kênh đăng, người phụ trách, trạng thái. Dùng để vận hành sản xuất nội dung đều đặn, đúng chiến dịch. Bản riêng cho Trường Quốc tế – ĐHQGHN (VNU-IS).</t>
  </si>
  <si>
    <t xml:space="preserve">Dùng khi cần lên lịch đăng bài theo tuần hoặc tháng cho website, fanpage, TikTok, YouTube sao cho bám chiến dịch trong kế hoạch truyền thông năm: chủ đề, định dạng, kênh, người phụ trách.</t>
  </si>
  <si>
    <t xml:space="preserve">vnuis-tt-phan-tich-chi-so-truyen-thong</t>
  </si>
  <si>
    <t xml:space="preserve">Phân tích chỉ số truyền thông của Trường Quốc tế – ĐHQGHN từ file xuất của các kênh (website, mạng xã hội, email): chuẩn hóa chỉ số, so theo kỳ, theo kênh và theo chiến dịch, nêu điểm bất thường. Dùng khi Phòng Truyền thông và Tuyển sinh cần báo cáo tuần, tháng hoặc đánh giá chiến dịch tuyển sinh.</t>
  </si>
  <si>
    <t xml:space="preserve">Dùng khi có file số liệu xuất từ nhiều kênh (website, mạng xã hội, email) và Phòng Truyền thông và Tuyển sinh cần báo cáo tuần, tháng hoặc đánh giá chiến dịch: so theo kỳ, kênh, chiến dịch, nêu điểm bất thường.</t>
  </si>
  <si>
    <t xml:space="preserve">vnuis-tt-viet-bai-truyen-thong</t>
  </si>
  <si>
    <t xml:space="preserve">Viết bài truyền thông cho website/fanpage theo brand voice trẻ trung, học thuật, kiểm chứng nội bộ số liệu, tên và trích dẫn. Dùng cho tin tức, gương sinh viên, thông tin tuyển sinh. Bản riêng cho Trường Quốc tế – ĐHQGHN (VNU-IS).</t>
  </si>
  <si>
    <t xml:space="preserve">Dùng khi cần viết bài cho website, fanpage, bản tin: tin sự kiện, gương sinh viên, giảng viên tiêu biểu, giới thiệu ngành, thông tin tuyển sinh, thành tựu nghiên cứu, theo giọng thương hiệu của trường.</t>
  </si>
  <si>
    <t xml:space="preserve">vnuis-vp-bao-cao-tong-ket-nam-hoc-toan-truong</t>
  </si>
  <si>
    <t xml:space="preserve">Tổng hợp báo cáo tổng kết năm học toàn VNU-IS từ báo cáo của các phòng ban, khoa (đào tạo, NCKH, Đào tạo (công tác sinh viên), TC&amp;QT (nhân sự), tài chính, CSVC, HTQT). Dùng khi Văn phòng / Phòng TC&amp;QT (văn phòng – văn thư) tổng hợp báo cáo tổng kết năm học. Bản riêng cho Trường Quốc tế – ĐHQGHN (VNU-IS).</t>
  </si>
  <si>
    <t xml:space="preserve">Dùng khi Văn phòng tổng hợp báo cáo tổng kết năm học toàn trường từ báo cáo các phòng ban, khoa để trình Hội nghị cán bộ viên chức, cơ quan chủ quản, Bộ GD&amp;ĐT.</t>
  </si>
  <si>
    <t xml:space="preserve">vnuis-vp-bao-cao-tong-ket-van-phong</t>
  </si>
  <si>
    <t xml:space="preserve">Soạn báo cáo tổng kết công tác văn phòng định kỳ của Phòng TC&amp;QT (văn phòng – văn thư) (văn thư, lễ tân, quản trị hành chính, thi đua). Dùng khi tổng kết công tác văn phòng theo quý / năm. Bản riêng cho Trường Quốc tế – ĐHQGHN (VNU-IS).</t>
  </si>
  <si>
    <t xml:space="preserve">Dùng khi Phòng TC&amp;QT (văn phòng – văn thư) tổng kết công tác văn phòng theo quý, 6 tháng, năm hoặc báo cáo chuyên đề về văn thư, cải cách hành chính.</t>
  </si>
  <si>
    <t xml:space="preserve">vnuis-vp-chuan-bi-hop-theo-doi-nhiem-vu</t>
  </si>
  <si>
    <t xml:space="preserve">Chuẩn bị họp (tóm tắt tài liệu thành bản tóm tắt chương trình họp) và sau họp trích kết luận, tách action theo owner/hạn chót, lập bảng theo dõi đến khi đóng việc. Dùng khi chuẩn bị hoặc kết thúc một cuộc họp trong trường (giao ban, hội đồng, họp đơn vị). Bản riêng cho Trường Quốc tế – ĐHQGHN (VNU-IS).</t>
  </si>
  <si>
    <t xml:space="preserve">Dùng trước họp khi cần tóm tắt chồng tài liệu thành chương trình họp ngắn, hoặc sau họp khi cần trích kết luận, tách đầu việc có người phụ trách và hạn, theo dõi đến khi xong.</t>
  </si>
  <si>
    <t xml:space="preserve">vnuis-vp-hop-nhat-bao-cao-don-vi</t>
  </si>
  <si>
    <t xml:space="preserve">Hợp nhất báo cáo của nhiều đơn vị theo một mẫu chung: đọc loạt file, đối chiếu cột trường dữ liệu, chuẩn hóa, loại trùng lặp, lập gap nhật ký số liệu thiếu → báo cáo tổng hợp + phụ lục liên kết nguồn từng con số. Dùng khi hợp nhất báo cáo nhiều đơn vị, như báo cáo 3 công khai, kiểm định, tổng kết năm học... Bản riêng cho Trường Quốc tế – ĐHQGHN (VNU-IS).</t>
  </si>
  <si>
    <t xml:space="preserve">Dùng khi nhiều khoa, phòng, trung tâm nộp báo cáo rời rạc, mẫu không thống nhất và cần hợp nhất thành một báo cáo chung của trường (3 công khai, kiểm định, tổng kết năm học, báo cáo đột xuất), kèm nguồn từng con số.</t>
  </si>
  <si>
    <t xml:space="preserve">vnuis-vp-ke-hoach-nam-hoc-toan-truong</t>
  </si>
  <si>
    <t xml:space="preserve">Xây dựng kế hoạch năm học toàn VNU-IS (nhiệm vụ trọng tâm, chỉ tiêu các mảng, phân công đơn vị, tiến độ). Dùng khi Văn phòng tổng hợp kế hoạch năm học mới từ kế hoạch của các đơn vị. Không dùng cho kế hoạch đào tạo của phòng Đào tạo (dùng vnuis-dt-ke-hoach-dao-tao-nam-hoc). Bản riêng cho Trường Quốc tế – ĐHQGHN (VNU-IS).</t>
  </si>
  <si>
    <t xml:space="preserve">Dùng trước năm học mới (hoặc khi điều chỉnh giữa năm) khi Văn phòng tổng hợp kế hoạch của các đơn vị thành kế hoạch năm học toàn trường: nhiệm vụ trọng tâm, chỉ tiêu, phân công, tiến độ.</t>
  </si>
  <si>
    <t xml:space="preserve">vnuis-vp-lap-lich-cong-tac-tuan</t>
  </si>
  <si>
    <t xml:space="preserve">Tổng hợp lịch công tác tuần của Ban Giám hiệu từ đầu việc các đơn vị gửi về, sắp xếp theo thời gian, chuẩn hóa và xuất bảng lịch tuần. Dùng khi Phòng TC&amp;QT (văn phòng – văn thư) lập lịch công tác tuần của Ban Giám hiệu. Bản riêng cho Trường Quốc tế – ĐHQGHN (VNU-IS).</t>
  </si>
  <si>
    <t xml:space="preserve">Dùng cuối mỗi tuần khi Văn phòng tổng hợp đầu việc các đơn vị gửi về thành lịch công tác tuần sau của Ban Giám hiệu để ban hành toàn trường.</t>
  </si>
  <si>
    <t xml:space="preserve">vnuis-vp-lap-phieu-trinh-ky</t>
  </si>
  <si>
    <t xml:space="preserve">Lập phiếu trình ký văn bản trình lãnh đạo VNU-IS (tóm tắt nội dung, ý kiến đề xuất của đơn vị soạn thảo, phần ý kiến lãnh đạo). Dùng khi đơn vị trình văn bản, hồ sơ lên Hiệu trưởng / Phó Hiệu trưởng ký duyệt. Bản riêng cho Trường Quốc tế – ĐHQGHN (VNU-IS).</t>
  </si>
  <si>
    <t xml:space="preserve">Dùng khi đơn vị trình văn bản, hồ sơ (quyết định, kế hoạch, báo cáo, tờ trình, hợp đồng) lên Hiệu trưởng hoặc Phó Hiệu trưởng ký duyệt và cần phiếu trình ký: tóm tắt, ý kiến đề xuất, phần ý kiến lãnh đạo.</t>
  </si>
  <si>
    <t xml:space="preserve">vnuis-vp-quan-ly-so-van-ban-di-den</t>
  </si>
  <si>
    <t xml:space="preserve">Xây dựng mẫu sổ đăng ký văn bản đi / văn bản đến và quy trình quản lý, theo dõi xử lý văn bản trong VNU-IS (tiếp nhận – đăng ký – trình – theo dõi – lưu trữ). Dùng khi Phòng TC&amp;QT (văn phòng – văn thư) chuẩn hóa công tác văn thư. Bản riêng cho Trường Quốc tế – ĐHQGHN (VNU-IS).</t>
  </si>
  <si>
    <t xml:space="preserve">Dùng khi Phòng TC&amp;QT (văn phòng – văn thư) lập sổ văn bản đi, văn bản đến hoặc xây dựng, chuẩn hóa quy trình xử lý văn bản: tiếp nhận, đăng ký, trình, theo dõi, lưu trữ.</t>
  </si>
  <si>
    <t xml:space="preserve">vnuis-vp-ra-soat-du-thao-van-ban</t>
  </si>
  <si>
    <t xml:space="preserve">Rà soát dự thảo văn bản hành chính trước khi trình ký: kiểm tra thể thức theo Nghị định 30/2020/NĐ-CP, logic nội dung, thuật ngữ, số liệu → bảng lỗi chi tiết + bản sạch đã hiệu đính. Dùng chung cho mọi loại văn bản, mọi phòng ban/khoa trong trường. Dùng khi trước khi trình lãnh đạo ký bất kỳ văn bản nào. Bản riêng cho Trường Quốc tế – ĐHQGHN (VNU-IS).</t>
  </si>
  <si>
    <t xml:space="preserve">Dùng trước khi trình lãnh đạo ký bất kỳ văn bản nào (công văn, tờ trình, quyết định, thông báo, kế hoạch, báo cáo) để kiểm tra thể thức Nghị định 30/2020/NĐ-CP, logic, thuật ngữ, số liệu. Dùng chung mọi đơn vị.</t>
  </si>
  <si>
    <t xml:space="preserve">vnuis-vp-soan-bien-ban-hop</t>
  </si>
  <si>
    <t xml:space="preserve">Soạn biên bản cuộc họp / hội nghị / hội đồng từ ghi chép, gồm thành phần, diễn biến và kết luận. Dùng cho giao ban, họp hội đồng, họp đơn vị. Bản riêng cho Trường Quốc tế – ĐHQGHN (VNU-IS).</t>
  </si>
  <si>
    <t xml:space="preserve">Dùng sau mỗi cuộc họp, hội nghị, phiên họp hội đồng (giao ban, hội đồng, họp đơn vị) khi cần lập biên bản ghi nhận thành phần, diễn biến, kết luận từ ghi chép.</t>
  </si>
  <si>
    <t xml:space="preserve">vnuis-vp-soan-cong-van</t>
  </si>
  <si>
    <t xml:space="preserve">Soạn công văn đi của VNU-IS đúng thể thức Nghị định 30/2020/NĐ-CP về công tác văn thư. Dùng khi cần trao đổi, phúc đáp, đề nghị, thông báo với cơ quan, tổ chức, cá nhân ngoài trường hoặc giữa các đơn vị trong trường. Bản riêng cho Trường Quốc tế – ĐHQGHN (VNU-IS).</t>
  </si>
  <si>
    <t xml:space="preserve">Dùng khi cần ban hành công văn đi đúng thể thức Nghị định 30/2020/NĐ-CP: phúc đáp, đề nghị phối hợp, thông báo, giải trình với cơ quan ngoài trường hoặc giữa các đơn vị trong trường.</t>
  </si>
  <si>
    <t xml:space="preserve">vnuis-vp-soan-giay-moi</t>
  </si>
  <si>
    <t xml:space="preserve">Soạn giấy mời họp, hội nghị, lễ kỷ niệm, sự kiện của VNU-IS (thành phần, thời gian, địa điểm, chương trình). Dùng khi đơn vị tổ chức sự kiện cần gửi giấy mời trang trọng. Bản riêng cho Trường Quốc tế – ĐHQGHN (VNU-IS).</t>
  </si>
  <si>
    <t xml:space="preserve">Dùng khi đơn vị tổ chức họp, hội nghị, hội thảo, lễ khai giảng, bế giảng, kỷ niệm và cần giấy mời trang trọng gửi đại biểu, khách mời: thành phần, thời gian, địa điểm, chương trình.</t>
  </si>
  <si>
    <t xml:space="preserve">vnuis-vp-soan-ke-hoach-cong-tac</t>
  </si>
  <si>
    <t xml:space="preserve">Soạn kế hoạch công tác tháng / quý / năm của đơn vị trong VNU-IS (mục đích, nhiệm vụ chi tiết, phân công, thời gian, kinh phí). Dùng khi phòng ban, khoa lập kế hoạch công tác định kỳ. Bản riêng cho Trường Quốc tế – ĐHQGHN (VNU-IS).</t>
  </si>
  <si>
    <t xml:space="preserve">Dùng khi phòng, khoa lập kế hoạch công tác tháng, quý, năm hoặc kế hoạch triển khai một nhiệm vụ, đợt công tác cụ thể: mục đích, nhiệm vụ, phân công, thời gian, kinh phí.</t>
  </si>
  <si>
    <t xml:space="preserve">vnuis-vp-soan-quyet-dinh-hanh-chinh</t>
  </si>
  <si>
    <t xml:space="preserve">Soạn quyết định hành chính của VNU-IS đúng thể thức Nghị định 30/2020/NĐ-CP (thành lập tổ chức, ban hành văn bản, điều động, khen thưởng...). Dùng khi cần ban hành quyết định cá biệt của Hiệu trưởng / cấp có thẩm quyền (C6). Không dùng cho quyết định khen thưởng/kỷ luật viên chức, người lao động (dùng vnuis-nhansu-soan-quyet-dinh-khen-thuong-ky-luat-vien-chuc). Bản VNU-IS.</t>
  </si>
  <si>
    <t xml:space="preserve">Dùng khi Hiệu trưởng hoặc cấp có thẩm quyền ban hành quyết định cá biệt: thành lập, giải thể đơn vị, ban hành quy chế, điều động, bổ nhiệm, khen thưởng hoặc kỷ luật sinh viên, phê duyệt kế hoạch, đề án.</t>
  </si>
  <si>
    <t xml:space="preserve">vnuis-vp-soan-thong-bao</t>
  </si>
  <si>
    <t xml:space="preserve">Soạn thông báo nội bộ của VNU-IS (lịch nghỉ lễ, cuộc họp, quy định mới, tuyển dụng, học bổng...), ngắn gọn, rõ đối tượng, rõ thời hạn. Dùng khi cần thông tin chính thức tới toàn trường hoặc một nhóm đối tượng. Không dùng cho văn bản chỉ đạo/quy phạm (dùng vnuis-vp-soan-quyet-dinh-hanh-chinh) hay thư mời (dùng vnuis-vp-soan-giay-moi). Bản riêng cho Trường Quốc tế – ĐHQGHN (VNU-IS).</t>
  </si>
  <si>
    <t xml:space="preserve">Dùng khi cần thông tin chính thức tới toàn trường hoặc một nhóm đối tượng: lịch nghỉ, triệu tập họp, quy định mới, học bổng, tuyển dụng, kết quả; ngắn gọn, rõ đối tượng và thời hạn.</t>
  </si>
  <si>
    <t xml:space="preserve">vnuis-vp-soan-to-trinh</t>
  </si>
  <si>
    <t xml:space="preserve">Soạn tờ trình xin chủ trương, phê duyệt của Ban Giám hiệu / cấp có thẩm quyền (C6) / cấp trên. Dùng cho mọi đề xuất cần được phê duyệt trước khi triển khai trong VNU-IS. Bản riêng cho Trường Quốc tế – ĐHQGHN (VNU-IS).</t>
  </si>
  <si>
    <t xml:space="preserve">Dùng khi đơn vị hoặc cá nhân cần xin chủ trương, phê duyệt từ Ban Giám hiệu hoặc cấp trên trước khi triển khai: mở ngành, tổ chức sự kiện, mua sắm, cử đi công tác, ban hành văn bản.</t>
  </si>
  <si>
    <t xml:space="preserve">vnuis-vp-tom-tat-trinh-lanh-dao</t>
  </si>
  <si>
    <t xml:space="preserve">Tóm tắt nhiều nguồn (báo cáo, tờ trình, bảng số liệu) thành bản tóm tắt cho lãnh đạo 1–2 trang kèm decision memo và bảng \"vấn đề cần quyết định\", giúp lãnh đạo nắm nhanh và ra quyết định. Dùng khi lãnh đạo cần nắm nhanh một vấn đề từ nhiều nguồn để ra quyết định (mọi cấp, mọi lĩnh vực trong trường). Bản riêng cho Trường Quốc tế – ĐHQGHN (VNU-IS).</t>
  </si>
  <si>
    <t xml:space="preserve">Dùng khi lãnh đạo cần nắm nhanh một vấn đề phức tạp từ nhiều nguồn (báo cáo, tờ trình, số liệu) để ra quyết định: bản tóm tắt 1–2 trang kèm bảng vấn đề cần quyết định.</t>
  </si>
  <si>
    <t xml:space="preserve">Trung bình</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</si>
</sst>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10"/>
    <col collapsed="false" customWidth="true" hidden="false" outlineLevel="0" max="4" min="4" style="0" width="60"/>
    <col collapsed="false" customWidth="true" hidden="false" outlineLevel="0" max="5" min="5" style="0" width="10"/>
    <col collapsed="false" customWidth="true" hidden="false" outlineLevel="0" max="6" min="6" style="0" width="14"/>
  </cols>
  <sheetData>
    <row r="1" customFormat="false" ht="23.85" hidden="false" customHeight="false" outlineLevel="0" collapsed="false">
      <c r="A1" s="1" t="s">
        <v>0</v>
      </c>
      <c r="B1" s="1" t="s">
        <v>1</v>
      </c>
      <c r="C1" s="1" t="s">
        <v>2</v>
      </c>
      <c r="D1" s="1" t="s">
        <v>3</v>
      </c>
      <c r="E1" s="1" t="s">
        <v>4</v>
      </c>
      <c r="F1" s="1" t="s">
        <v>5</v>
      </c>
    </row>
    <row r="2" customFormat="false" ht="57.45" hidden="false" customHeight="false" outlineLevel="0" collapsed="false">
      <c r="A2" s="2" t="s">
        <v>6</v>
      </c>
      <c r="B2" s="2" t="s">
        <v>7</v>
      </c>
      <c r="C2" s="2" t="n">
        <f aca="false">LEN(B2)</f>
        <v>326</v>
      </c>
      <c r="D2" s="2" t="s">
        <v>8</v>
      </c>
      <c r="E2" s="2" t="n">
        <f aca="false">LEN(D2)</f>
        <v>189</v>
      </c>
      <c r="F2" s="2" t="str">
        <f aca="false">IF(LEFT(D2,8)="Dùng khi","Có","Không")</f>
        <v>Có</v>
      </c>
    </row>
    <row r="3" customFormat="false" ht="57.45" hidden="false" customHeight="false" outlineLevel="0" collapsed="false">
      <c r="A3" s="2" t="s">
        <v>9</v>
      </c>
      <c r="B3" s="2" t="s">
        <v>10</v>
      </c>
      <c r="C3" s="2" t="n">
        <f aca="false">LEN(B3)</f>
        <v>284</v>
      </c>
      <c r="D3" s="2" t="s">
        <v>11</v>
      </c>
      <c r="E3" s="2" t="n">
        <f aca="false">LEN(D3)</f>
        <v>173</v>
      </c>
      <c r="F3" s="2" t="str">
        <f aca="false">IF(LEFT(D3,8)="Dùng khi","Có","Không")</f>
        <v>Có</v>
      </c>
    </row>
    <row r="4" customFormat="false" ht="68.65" hidden="false" customHeight="false" outlineLevel="0" collapsed="false">
      <c r="A4" s="2" t="s">
        <v>12</v>
      </c>
      <c r="B4" s="2" t="s">
        <v>13</v>
      </c>
      <c r="C4" s="2" t="n">
        <f aca="false">LEN(B4)</f>
        <v>351</v>
      </c>
      <c r="D4" s="2" t="s">
        <v>14</v>
      </c>
      <c r="E4" s="2" t="n">
        <f aca="false">LEN(D4)</f>
        <v>194</v>
      </c>
      <c r="F4" s="2" t="str">
        <f aca="false">IF(LEFT(D4,8)="Dùng khi","Có","Không")</f>
        <v>Có</v>
      </c>
    </row>
    <row r="5" customFormat="false" ht="46.25" hidden="false" customHeight="false" outlineLevel="0" collapsed="false">
      <c r="A5" s="2" t="s">
        <v>15</v>
      </c>
      <c r="B5" s="2" t="s">
        <v>16</v>
      </c>
      <c r="C5" s="2" t="n">
        <f aca="false">LEN(B5)</f>
        <v>226</v>
      </c>
      <c r="D5" s="2" t="s">
        <v>17</v>
      </c>
      <c r="E5" s="2" t="n">
        <f aca="false">LEN(D5)</f>
        <v>180</v>
      </c>
      <c r="F5" s="2" t="str">
        <f aca="false">IF(LEFT(D5,8)="Dùng khi","Có","Không")</f>
        <v>Có</v>
      </c>
    </row>
    <row r="6" customFormat="false" ht="46.25" hidden="false" customHeight="false" outlineLevel="0" collapsed="false">
      <c r="A6" s="2" t="s">
        <v>18</v>
      </c>
      <c r="B6" s="2" t="s">
        <v>19</v>
      </c>
      <c r="C6" s="2" t="n">
        <f aca="false">LEN(B6)</f>
        <v>251</v>
      </c>
      <c r="D6" s="2" t="s">
        <v>20</v>
      </c>
      <c r="E6" s="2" t="n">
        <f aca="false">LEN(D6)</f>
        <v>203</v>
      </c>
      <c r="F6" s="2" t="str">
        <f aca="false">IF(LEFT(D6,8)="Dùng khi","Có","Không")</f>
        <v>Có</v>
      </c>
    </row>
    <row r="7" customFormat="false" ht="57.45" hidden="false" customHeight="false" outlineLevel="0" collapsed="false">
      <c r="A7" s="2" t="s">
        <v>21</v>
      </c>
      <c r="B7" s="2" t="s">
        <v>22</v>
      </c>
      <c r="C7" s="2" t="n">
        <f aca="false">LEN(B7)</f>
        <v>293</v>
      </c>
      <c r="D7" s="2" t="s">
        <v>23</v>
      </c>
      <c r="E7" s="2" t="n">
        <f aca="false">LEN(D7)</f>
        <v>161</v>
      </c>
      <c r="F7" s="2" t="str">
        <f aca="false">IF(LEFT(D7,8)="Dùng khi","Có","Không")</f>
        <v>Có</v>
      </c>
    </row>
    <row r="8" customFormat="false" ht="46.25" hidden="false" customHeight="false" outlineLevel="0" collapsed="false">
      <c r="A8" s="2" t="s">
        <v>24</v>
      </c>
      <c r="B8" s="2" t="s">
        <v>25</v>
      </c>
      <c r="C8" s="2" t="n">
        <f aca="false">LEN(B8)</f>
        <v>253</v>
      </c>
      <c r="D8" s="2" t="s">
        <v>26</v>
      </c>
      <c r="E8" s="2" t="n">
        <f aca="false">LEN(D8)</f>
        <v>184</v>
      </c>
      <c r="F8" s="2" t="str">
        <f aca="false">IF(LEFT(D8,8)="Dùng khi","Có","Không")</f>
        <v>Có</v>
      </c>
    </row>
    <row r="9" customFormat="false" ht="57.45" hidden="false" customHeight="false" outlineLevel="0" collapsed="false">
      <c r="A9" s="2" t="s">
        <v>27</v>
      </c>
      <c r="B9" s="2" t="s">
        <v>28</v>
      </c>
      <c r="C9" s="2" t="n">
        <f aca="false">LEN(B9)</f>
        <v>296</v>
      </c>
      <c r="D9" s="2" t="s">
        <v>29</v>
      </c>
      <c r="E9" s="2" t="n">
        <f aca="false">LEN(D9)</f>
        <v>183</v>
      </c>
      <c r="F9" s="2" t="str">
        <f aca="false">IF(LEFT(D9,8)="Dùng khi","Có","Không")</f>
        <v>Có</v>
      </c>
    </row>
    <row r="10" customFormat="false" ht="57.45" hidden="false" customHeight="false" outlineLevel="0" collapsed="false">
      <c r="A10" s="2" t="s">
        <v>30</v>
      </c>
      <c r="B10" s="2" t="s">
        <v>31</v>
      </c>
      <c r="C10" s="2" t="n">
        <f aca="false">LEN(B10)</f>
        <v>291</v>
      </c>
      <c r="D10" s="2" t="s">
        <v>32</v>
      </c>
      <c r="E10" s="2" t="n">
        <f aca="false">LEN(D10)</f>
        <v>178</v>
      </c>
      <c r="F10" s="2" t="str">
        <f aca="false">IF(LEFT(D10,8)="Dùng khi","Có","Không")</f>
        <v>Có</v>
      </c>
    </row>
    <row r="11" customFormat="false" ht="57.45" hidden="false" customHeight="false" outlineLevel="0" collapsed="false">
      <c r="A11" s="2" t="s">
        <v>33</v>
      </c>
      <c r="B11" s="2" t="s">
        <v>34</v>
      </c>
      <c r="C11" s="2" t="n">
        <f aca="false">LEN(B11)</f>
        <v>347</v>
      </c>
      <c r="D11" s="2" t="s">
        <v>35</v>
      </c>
      <c r="E11" s="2" t="n">
        <f aca="false">LEN(D11)</f>
        <v>176</v>
      </c>
      <c r="F11" s="2" t="str">
        <f aca="false">IF(LEFT(D11,8)="Dùng khi","Có","Không")</f>
        <v>Có</v>
      </c>
    </row>
    <row r="12" customFormat="false" ht="46.25" hidden="false" customHeight="false" outlineLevel="0" collapsed="false">
      <c r="A12" s="2" t="s">
        <v>36</v>
      </c>
      <c r="B12" s="2" t="s">
        <v>37</v>
      </c>
      <c r="C12" s="2" t="n">
        <f aca="false">LEN(B12)</f>
        <v>251</v>
      </c>
      <c r="D12" s="2" t="s">
        <v>38</v>
      </c>
      <c r="E12" s="2" t="n">
        <f aca="false">LEN(D12)</f>
        <v>178</v>
      </c>
      <c r="F12" s="2" t="str">
        <f aca="false">IF(LEFT(D12,8)="Dùng khi","Có","Không")</f>
        <v>Có</v>
      </c>
    </row>
    <row r="13" customFormat="false" ht="57.45" hidden="false" customHeight="false" outlineLevel="0" collapsed="false">
      <c r="A13" s="2" t="s">
        <v>39</v>
      </c>
      <c r="B13" s="2" t="s">
        <v>40</v>
      </c>
      <c r="C13" s="2" t="n">
        <f aca="false">LEN(B13)</f>
        <v>281</v>
      </c>
      <c r="D13" s="2" t="s">
        <v>41</v>
      </c>
      <c r="E13" s="2" t="n">
        <f aca="false">LEN(D13)</f>
        <v>186</v>
      </c>
      <c r="F13" s="2" t="str">
        <f aca="false">IF(LEFT(D13,8)="Dùng khi","Có","Không")</f>
        <v>Có</v>
      </c>
    </row>
    <row r="14" customFormat="false" ht="57.45" hidden="false" customHeight="false" outlineLevel="0" collapsed="false">
      <c r="A14" s="2" t="s">
        <v>42</v>
      </c>
      <c r="B14" s="2" t="s">
        <v>43</v>
      </c>
      <c r="C14" s="2" t="n">
        <f aca="false">LEN(B14)</f>
        <v>314</v>
      </c>
      <c r="D14" s="2" t="s">
        <v>44</v>
      </c>
      <c r="E14" s="2" t="n">
        <f aca="false">LEN(D14)</f>
        <v>187</v>
      </c>
      <c r="F14" s="2" t="str">
        <f aca="false">IF(LEFT(D14,8)="Dùng khi","Có","Không")</f>
        <v>Có</v>
      </c>
    </row>
    <row r="15" customFormat="false" ht="68.65" hidden="false" customHeight="false" outlineLevel="0" collapsed="false">
      <c r="A15" s="2" t="s">
        <v>45</v>
      </c>
      <c r="B15" s="2" t="s">
        <v>46</v>
      </c>
      <c r="C15" s="2" t="n">
        <f aca="false">LEN(B15)</f>
        <v>357</v>
      </c>
      <c r="D15" s="2" t="s">
        <v>47</v>
      </c>
      <c r="E15" s="2" t="n">
        <f aca="false">LEN(D15)</f>
        <v>188</v>
      </c>
      <c r="F15" s="2" t="str">
        <f aca="false">IF(LEFT(D15,8)="Dùng khi","Có","Không")</f>
        <v>Có</v>
      </c>
    </row>
    <row r="16" customFormat="false" ht="68.65" hidden="false" customHeight="false" outlineLevel="0" collapsed="false">
      <c r="A16" s="2" t="s">
        <v>48</v>
      </c>
      <c r="B16" s="2" t="s">
        <v>49</v>
      </c>
      <c r="C16" s="2" t="n">
        <f aca="false">LEN(B16)</f>
        <v>389</v>
      </c>
      <c r="D16" s="2" t="s">
        <v>50</v>
      </c>
      <c r="E16" s="2" t="n">
        <f aca="false">LEN(D16)</f>
        <v>202</v>
      </c>
      <c r="F16" s="2" t="str">
        <f aca="false">IF(LEFT(D16,8)="Dùng khi","Có","Không")</f>
        <v>Có</v>
      </c>
    </row>
    <row r="17" customFormat="false" ht="57.45" hidden="false" customHeight="false" outlineLevel="0" collapsed="false">
      <c r="A17" s="2" t="s">
        <v>51</v>
      </c>
      <c r="B17" s="2" t="s">
        <v>52</v>
      </c>
      <c r="C17" s="2" t="n">
        <f aca="false">LEN(B17)</f>
        <v>321</v>
      </c>
      <c r="D17" s="2" t="s">
        <v>53</v>
      </c>
      <c r="E17" s="2" t="n">
        <f aca="false">LEN(D17)</f>
        <v>155</v>
      </c>
      <c r="F17" s="2" t="str">
        <f aca="false">IF(LEFT(D17,8)="Dùng khi","Có","Không")</f>
        <v>Có</v>
      </c>
    </row>
    <row r="18" customFormat="false" ht="57.45" hidden="false" customHeight="false" outlineLevel="0" collapsed="false">
      <c r="A18" s="2" t="s">
        <v>54</v>
      </c>
      <c r="B18" s="2" t="s">
        <v>55</v>
      </c>
      <c r="C18" s="2" t="n">
        <f aca="false">LEN(B18)</f>
        <v>309</v>
      </c>
      <c r="D18" s="2" t="s">
        <v>56</v>
      </c>
      <c r="E18" s="2" t="n">
        <f aca="false">LEN(D18)</f>
        <v>156</v>
      </c>
      <c r="F18" s="2" t="str">
        <f aca="false">IF(LEFT(D18,8)="Dùng khi","Có","Không")</f>
        <v>Có</v>
      </c>
    </row>
    <row r="19" customFormat="false" ht="57.45" hidden="false" customHeight="false" outlineLevel="0" collapsed="false">
      <c r="A19" s="2" t="s">
        <v>57</v>
      </c>
      <c r="B19" s="2" t="s">
        <v>58</v>
      </c>
      <c r="C19" s="2" t="n">
        <f aca="false">LEN(B19)</f>
        <v>278</v>
      </c>
      <c r="D19" s="2" t="s">
        <v>59</v>
      </c>
      <c r="E19" s="2" t="n">
        <f aca="false">LEN(D19)</f>
        <v>163</v>
      </c>
      <c r="F19" s="2" t="str">
        <f aca="false">IF(LEFT(D19,8)="Dùng khi","Có","Không")</f>
        <v>Có</v>
      </c>
    </row>
    <row r="20" customFormat="false" ht="57.45" hidden="false" customHeight="false" outlineLevel="0" collapsed="false">
      <c r="A20" s="2" t="s">
        <v>60</v>
      </c>
      <c r="B20" s="2" t="s">
        <v>61</v>
      </c>
      <c r="C20" s="2" t="n">
        <f aca="false">LEN(B20)</f>
        <v>310</v>
      </c>
      <c r="D20" s="2" t="s">
        <v>62</v>
      </c>
      <c r="E20" s="2" t="n">
        <f aca="false">LEN(D20)</f>
        <v>177</v>
      </c>
      <c r="F20" s="2" t="str">
        <f aca="false">IF(LEFT(D20,8)="Dùng khi","Có","Không")</f>
        <v>Có</v>
      </c>
    </row>
    <row r="21" customFormat="false" ht="68.65" hidden="false" customHeight="false" outlineLevel="0" collapsed="false">
      <c r="A21" s="2" t="s">
        <v>63</v>
      </c>
      <c r="B21" s="2" t="s">
        <v>64</v>
      </c>
      <c r="C21" s="2" t="n">
        <f aca="false">LEN(B21)</f>
        <v>383</v>
      </c>
      <c r="D21" s="2" t="s">
        <v>65</v>
      </c>
      <c r="E21" s="2" t="n">
        <f aca="false">LEN(D21)</f>
        <v>201</v>
      </c>
      <c r="F21" s="2" t="str">
        <f aca="false">IF(LEFT(D21,8)="Dùng khi","Có","Không")</f>
        <v>Có</v>
      </c>
    </row>
    <row r="22" customFormat="false" ht="57.45" hidden="false" customHeight="false" outlineLevel="0" collapsed="false">
      <c r="A22" s="2" t="s">
        <v>66</v>
      </c>
      <c r="B22" s="2" t="s">
        <v>67</v>
      </c>
      <c r="C22" s="2" t="n">
        <f aca="false">LEN(B22)</f>
        <v>276</v>
      </c>
      <c r="D22" s="2" t="s">
        <v>68</v>
      </c>
      <c r="E22" s="2" t="n">
        <f aca="false">LEN(D22)</f>
        <v>185</v>
      </c>
      <c r="F22" s="2" t="str">
        <f aca="false">IF(LEFT(D22,8)="Dùng khi","Có","Không")</f>
        <v>Có</v>
      </c>
    </row>
    <row r="23" customFormat="false" ht="68.65" hidden="false" customHeight="false" outlineLevel="0" collapsed="false">
      <c r="A23" s="2" t="s">
        <v>69</v>
      </c>
      <c r="B23" s="2" t="s">
        <v>70</v>
      </c>
      <c r="C23" s="2" t="n">
        <f aca="false">LEN(B23)</f>
        <v>375</v>
      </c>
      <c r="D23" s="2" t="s">
        <v>71</v>
      </c>
      <c r="E23" s="2" t="n">
        <f aca="false">LEN(D23)</f>
        <v>186</v>
      </c>
      <c r="F23" s="2" t="str">
        <f aca="false">IF(LEFT(D23,8)="Dùng khi","Có","Không")</f>
        <v>Có</v>
      </c>
    </row>
    <row r="24" customFormat="false" ht="46.25" hidden="false" customHeight="false" outlineLevel="0" collapsed="false">
      <c r="A24" s="2" t="s">
        <v>72</v>
      </c>
      <c r="B24" s="2" t="s">
        <v>73</v>
      </c>
      <c r="C24" s="2" t="n">
        <f aca="false">LEN(B24)</f>
        <v>260</v>
      </c>
      <c r="D24" s="2" t="s">
        <v>74</v>
      </c>
      <c r="E24" s="2" t="n">
        <f aca="false">LEN(D24)</f>
        <v>139</v>
      </c>
      <c r="F24" s="2" t="str">
        <f aca="false">IF(LEFT(D24,8)="Dùng khi","Có","Không")</f>
        <v>Có</v>
      </c>
    </row>
    <row r="25" customFormat="false" ht="68.65" hidden="false" customHeight="false" outlineLevel="0" collapsed="false">
      <c r="A25" s="2" t="s">
        <v>75</v>
      </c>
      <c r="B25" s="2" t="s">
        <v>76</v>
      </c>
      <c r="C25" s="2" t="n">
        <f aca="false">LEN(B25)</f>
        <v>362</v>
      </c>
      <c r="D25" s="2" t="s">
        <v>77</v>
      </c>
      <c r="E25" s="2" t="n">
        <f aca="false">LEN(D25)</f>
        <v>163</v>
      </c>
      <c r="F25" s="2" t="str">
        <f aca="false">IF(LEFT(D25,8)="Dùng khi","Có","Không")</f>
        <v>Có</v>
      </c>
    </row>
    <row r="26" customFormat="false" ht="68.65" hidden="false" customHeight="false" outlineLevel="0" collapsed="false">
      <c r="A26" s="2" t="s">
        <v>78</v>
      </c>
      <c r="B26" s="2" t="s">
        <v>79</v>
      </c>
      <c r="C26" s="2" t="n">
        <f aca="false">LEN(B26)</f>
        <v>379</v>
      </c>
      <c r="D26" s="2" t="s">
        <v>80</v>
      </c>
      <c r="E26" s="2" t="n">
        <f aca="false">LEN(D26)</f>
        <v>205</v>
      </c>
      <c r="F26" s="2" t="str">
        <f aca="false">IF(LEFT(D26,8)="Dùng khi","Có","Không")</f>
        <v>Có</v>
      </c>
    </row>
    <row r="27" customFormat="false" ht="57.45" hidden="false" customHeight="false" outlineLevel="0" collapsed="false">
      <c r="A27" s="2" t="s">
        <v>81</v>
      </c>
      <c r="B27" s="2" t="s">
        <v>82</v>
      </c>
      <c r="C27" s="2" t="n">
        <f aca="false">LEN(B27)</f>
        <v>346</v>
      </c>
      <c r="D27" s="2" t="s">
        <v>83</v>
      </c>
      <c r="E27" s="2" t="n">
        <f aca="false">LEN(D27)</f>
        <v>179</v>
      </c>
      <c r="F27" s="2" t="str">
        <f aca="false">IF(LEFT(D27,8)="Dùng khi","Có","Không")</f>
        <v>Có</v>
      </c>
    </row>
    <row r="28" customFormat="false" ht="68.65" hidden="false" customHeight="false" outlineLevel="0" collapsed="false">
      <c r="A28" s="2" t="s">
        <v>84</v>
      </c>
      <c r="B28" s="2" t="s">
        <v>85</v>
      </c>
      <c r="C28" s="2" t="n">
        <f aca="false">LEN(B28)</f>
        <v>369</v>
      </c>
      <c r="D28" s="2" t="s">
        <v>86</v>
      </c>
      <c r="E28" s="2" t="n">
        <f aca="false">LEN(D28)</f>
        <v>199</v>
      </c>
      <c r="F28" s="2" t="str">
        <f aca="false">IF(LEFT(D28,8)="Dùng khi","Có","Không")</f>
        <v>Có</v>
      </c>
    </row>
    <row r="29" customFormat="false" ht="46.25" hidden="false" customHeight="false" outlineLevel="0" collapsed="false">
      <c r="A29" s="2" t="s">
        <v>87</v>
      </c>
      <c r="B29" s="2" t="s">
        <v>88</v>
      </c>
      <c r="C29" s="2" t="n">
        <f aca="false">LEN(B29)</f>
        <v>275</v>
      </c>
      <c r="D29" s="2" t="s">
        <v>89</v>
      </c>
      <c r="E29" s="2" t="n">
        <f aca="false">LEN(D29)</f>
        <v>179</v>
      </c>
      <c r="F29" s="2" t="str">
        <f aca="false">IF(LEFT(D29,8)="Dùng khi","Có","Không")</f>
        <v>Có</v>
      </c>
    </row>
    <row r="30" customFormat="false" ht="57.45" hidden="false" customHeight="false" outlineLevel="0" collapsed="false">
      <c r="A30" s="2" t="s">
        <v>90</v>
      </c>
      <c r="B30" s="2" t="s">
        <v>91</v>
      </c>
      <c r="C30" s="2" t="n">
        <f aca="false">LEN(B30)</f>
        <v>344</v>
      </c>
      <c r="D30" s="2" t="s">
        <v>92</v>
      </c>
      <c r="E30" s="2" t="n">
        <f aca="false">LEN(D30)</f>
        <v>187</v>
      </c>
      <c r="F30" s="2" t="str">
        <f aca="false">IF(LEFT(D30,8)="Dùng khi","Có","Không")</f>
        <v>Có</v>
      </c>
    </row>
    <row r="31" customFormat="false" ht="57.45" hidden="false" customHeight="false" outlineLevel="0" collapsed="false">
      <c r="A31" s="2" t="s">
        <v>93</v>
      </c>
      <c r="B31" s="2" t="s">
        <v>94</v>
      </c>
      <c r="C31" s="2" t="n">
        <f aca="false">LEN(B31)</f>
        <v>342</v>
      </c>
      <c r="D31" s="2" t="s">
        <v>95</v>
      </c>
      <c r="E31" s="2" t="n">
        <f aca="false">LEN(D31)</f>
        <v>181</v>
      </c>
      <c r="F31" s="2" t="str">
        <f aca="false">IF(LEFT(D31,8)="Dùng khi","Có","Không")</f>
        <v>Có</v>
      </c>
    </row>
    <row r="32" customFormat="false" ht="57.45" hidden="false" customHeight="false" outlineLevel="0" collapsed="false">
      <c r="A32" s="2" t="s">
        <v>96</v>
      </c>
      <c r="B32" s="2" t="s">
        <v>97</v>
      </c>
      <c r="C32" s="2" t="n">
        <f aca="false">LEN(B32)</f>
        <v>298</v>
      </c>
      <c r="D32" s="2" t="s">
        <v>98</v>
      </c>
      <c r="E32" s="2" t="n">
        <f aca="false">LEN(D32)</f>
        <v>175</v>
      </c>
      <c r="F32" s="2" t="str">
        <f aca="false">IF(LEFT(D32,8)="Dùng khi","Có","Không")</f>
        <v>Có</v>
      </c>
    </row>
    <row r="33" customFormat="false" ht="46.25" hidden="false" customHeight="false" outlineLevel="0" collapsed="false">
      <c r="A33" s="2" t="s">
        <v>99</v>
      </c>
      <c r="B33" s="2" t="s">
        <v>100</v>
      </c>
      <c r="C33" s="2" t="n">
        <f aca="false">LEN(B33)</f>
        <v>255</v>
      </c>
      <c r="D33" s="2" t="s">
        <v>101</v>
      </c>
      <c r="E33" s="2" t="n">
        <f aca="false">LEN(D33)</f>
        <v>174</v>
      </c>
      <c r="F33" s="2" t="str">
        <f aca="false">IF(LEFT(D33,8)="Dùng khi","Có","Không")</f>
        <v>Có</v>
      </c>
    </row>
    <row r="34" customFormat="false" ht="46.25" hidden="false" customHeight="false" outlineLevel="0" collapsed="false">
      <c r="A34" s="2" t="s">
        <v>102</v>
      </c>
      <c r="B34" s="2" t="s">
        <v>103</v>
      </c>
      <c r="C34" s="2" t="n">
        <f aca="false">LEN(B34)</f>
        <v>244</v>
      </c>
      <c r="D34" s="2" t="s">
        <v>104</v>
      </c>
      <c r="E34" s="2" t="n">
        <f aca="false">LEN(D34)</f>
        <v>195</v>
      </c>
      <c r="F34" s="2" t="str">
        <f aca="false">IF(LEFT(D34,8)="Dùng khi","Có","Không")</f>
        <v>Có</v>
      </c>
    </row>
    <row r="35" customFormat="false" ht="57.45" hidden="false" customHeight="false" outlineLevel="0" collapsed="false">
      <c r="A35" s="2" t="s">
        <v>105</v>
      </c>
      <c r="B35" s="2" t="s">
        <v>106</v>
      </c>
      <c r="C35" s="2" t="n">
        <f aca="false">LEN(B35)</f>
        <v>277</v>
      </c>
      <c r="D35" s="2" t="s">
        <v>107</v>
      </c>
      <c r="E35" s="2" t="n">
        <f aca="false">LEN(D35)</f>
        <v>194</v>
      </c>
      <c r="F35" s="2" t="str">
        <f aca="false">IF(LEFT(D35,8)="Dùng khi","Có","Không")</f>
        <v>Có</v>
      </c>
    </row>
    <row r="36" customFormat="false" ht="46.25" hidden="false" customHeight="false" outlineLevel="0" collapsed="false">
      <c r="A36" s="2" t="s">
        <v>108</v>
      </c>
      <c r="B36" s="2" t="s">
        <v>109</v>
      </c>
      <c r="C36" s="2" t="n">
        <f aca="false">LEN(B36)</f>
        <v>266</v>
      </c>
      <c r="D36" s="2" t="s">
        <v>110</v>
      </c>
      <c r="E36" s="2" t="n">
        <f aca="false">LEN(D36)</f>
        <v>162</v>
      </c>
      <c r="F36" s="2" t="str">
        <f aca="false">IF(LEFT(D36,8)="Dùng khi","Có","Không")</f>
        <v>Có</v>
      </c>
    </row>
    <row r="37" customFormat="false" ht="57.45" hidden="false" customHeight="false" outlineLevel="0" collapsed="false">
      <c r="A37" s="2" t="s">
        <v>111</v>
      </c>
      <c r="B37" s="2" t="s">
        <v>112</v>
      </c>
      <c r="C37" s="2" t="n">
        <f aca="false">LEN(B37)</f>
        <v>292</v>
      </c>
      <c r="D37" s="2" t="s">
        <v>113</v>
      </c>
      <c r="E37" s="2" t="n">
        <f aca="false">LEN(D37)</f>
        <v>184</v>
      </c>
      <c r="F37" s="2" t="str">
        <f aca="false">IF(LEFT(D37,8)="Dùng khi","Có","Không")</f>
        <v>Có</v>
      </c>
    </row>
    <row r="38" customFormat="false" ht="46.25" hidden="false" customHeight="false" outlineLevel="0" collapsed="false">
      <c r="A38" s="2" t="s">
        <v>114</v>
      </c>
      <c r="B38" s="2" t="s">
        <v>115</v>
      </c>
      <c r="C38" s="2" t="n">
        <f aca="false">LEN(B38)</f>
        <v>264</v>
      </c>
      <c r="D38" s="2" t="s">
        <v>116</v>
      </c>
      <c r="E38" s="2" t="n">
        <f aca="false">LEN(D38)</f>
        <v>211</v>
      </c>
      <c r="F38" s="2" t="str">
        <f aca="false">IF(LEFT(D38,8)="Dùng khi","Có","Không")</f>
        <v>Có</v>
      </c>
    </row>
    <row r="39" customFormat="false" ht="46.25" hidden="false" customHeight="false" outlineLevel="0" collapsed="false">
      <c r="A39" s="2" t="s">
        <v>117</v>
      </c>
      <c r="B39" s="2" t="s">
        <v>118</v>
      </c>
      <c r="C39" s="2" t="n">
        <f aca="false">LEN(B39)</f>
        <v>271</v>
      </c>
      <c r="D39" s="2" t="s">
        <v>119</v>
      </c>
      <c r="E39" s="2" t="n">
        <f aca="false">LEN(D39)</f>
        <v>196</v>
      </c>
      <c r="F39" s="2" t="str">
        <f aca="false">IF(LEFT(D39,8)="Dùng khi","Có","Không")</f>
        <v>Có</v>
      </c>
    </row>
    <row r="40" customFormat="false" ht="46.25" hidden="false" customHeight="false" outlineLevel="0" collapsed="false">
      <c r="A40" s="2" t="s">
        <v>120</v>
      </c>
      <c r="B40" s="2" t="s">
        <v>121</v>
      </c>
      <c r="C40" s="2" t="n">
        <f aca="false">LEN(B40)</f>
        <v>265</v>
      </c>
      <c r="D40" s="2" t="s">
        <v>122</v>
      </c>
      <c r="E40" s="2" t="n">
        <f aca="false">LEN(D40)</f>
        <v>207</v>
      </c>
      <c r="F40" s="2" t="str">
        <f aca="false">IF(LEFT(D40,8)="Dùng khi","Có","Không")</f>
        <v>Có</v>
      </c>
    </row>
    <row r="41" customFormat="false" ht="57.45" hidden="false" customHeight="false" outlineLevel="0" collapsed="false">
      <c r="A41" s="2" t="s">
        <v>123</v>
      </c>
      <c r="B41" s="2" t="s">
        <v>124</v>
      </c>
      <c r="C41" s="2" t="n">
        <f aca="false">LEN(B41)</f>
        <v>301</v>
      </c>
      <c r="D41" s="2" t="s">
        <v>125</v>
      </c>
      <c r="E41" s="2" t="n">
        <f aca="false">LEN(D41)</f>
        <v>200</v>
      </c>
      <c r="F41" s="2" t="str">
        <f aca="false">IF(LEFT(D41,8)="Dùng khi","Có","Không")</f>
        <v>Có</v>
      </c>
    </row>
    <row r="42" customFormat="false" ht="57.45" hidden="false" customHeight="false" outlineLevel="0" collapsed="false">
      <c r="A42" s="2" t="s">
        <v>126</v>
      </c>
      <c r="B42" s="2" t="s">
        <v>127</v>
      </c>
      <c r="C42" s="2" t="n">
        <f aca="false">LEN(B42)</f>
        <v>287</v>
      </c>
      <c r="D42" s="2" t="s">
        <v>128</v>
      </c>
      <c r="E42" s="2" t="n">
        <f aca="false">LEN(D42)</f>
        <v>195</v>
      </c>
      <c r="F42" s="2" t="str">
        <f aca="false">IF(LEFT(D42,8)="Dùng khi","Có","Không")</f>
        <v>Có</v>
      </c>
    </row>
    <row r="43" customFormat="false" ht="46.25" hidden="false" customHeight="false" outlineLevel="0" collapsed="false">
      <c r="A43" s="2" t="s">
        <v>129</v>
      </c>
      <c r="B43" s="2" t="s">
        <v>130</v>
      </c>
      <c r="C43" s="2" t="n">
        <f aca="false">LEN(B43)</f>
        <v>226</v>
      </c>
      <c r="D43" s="2" t="s">
        <v>131</v>
      </c>
      <c r="E43" s="2" t="n">
        <f aca="false">LEN(D43)</f>
        <v>176</v>
      </c>
      <c r="F43" s="2" t="str">
        <f aca="false">IF(LEFT(D43,8)="Dùng khi","Có","Không")</f>
        <v>Có</v>
      </c>
    </row>
    <row r="44" customFormat="false" ht="68.65" hidden="false" customHeight="false" outlineLevel="0" collapsed="false">
      <c r="A44" s="2" t="s">
        <v>132</v>
      </c>
      <c r="B44" s="2" t="s">
        <v>133</v>
      </c>
      <c r="C44" s="2" t="n">
        <f aca="false">LEN(B44)</f>
        <v>390</v>
      </c>
      <c r="D44" s="2" t="s">
        <v>134</v>
      </c>
      <c r="E44" s="2" t="n">
        <f aca="false">LEN(D44)</f>
        <v>200</v>
      </c>
      <c r="F44" s="2" t="str">
        <f aca="false">IF(LEFT(D44,8)="Dùng khi","Có","Không")</f>
        <v>Có</v>
      </c>
    </row>
    <row r="45" customFormat="false" ht="57.45" hidden="false" customHeight="false" outlineLevel="0" collapsed="false">
      <c r="A45" s="2" t="s">
        <v>135</v>
      </c>
      <c r="B45" s="2" t="s">
        <v>136</v>
      </c>
      <c r="C45" s="2" t="n">
        <f aca="false">LEN(B45)</f>
        <v>341</v>
      </c>
      <c r="D45" s="2" t="s">
        <v>137</v>
      </c>
      <c r="E45" s="2" t="n">
        <f aca="false">LEN(D45)</f>
        <v>198</v>
      </c>
      <c r="F45" s="2" t="str">
        <f aca="false">IF(LEFT(D45,8)="Dùng khi","Có","Không")</f>
        <v>Có</v>
      </c>
    </row>
    <row r="46" customFormat="false" ht="57.45" hidden="false" customHeight="false" outlineLevel="0" collapsed="false">
      <c r="A46" s="2" t="s">
        <v>138</v>
      </c>
      <c r="B46" s="2" t="s">
        <v>139</v>
      </c>
      <c r="C46" s="2" t="n">
        <f aca="false">LEN(B46)</f>
        <v>317</v>
      </c>
      <c r="D46" s="2" t="s">
        <v>140</v>
      </c>
      <c r="E46" s="2" t="n">
        <f aca="false">LEN(D46)</f>
        <v>213</v>
      </c>
      <c r="F46" s="2" t="str">
        <f aca="false">IF(LEFT(D46,8)="Dùng khi","Có","Không")</f>
        <v>Có</v>
      </c>
    </row>
    <row r="47" customFormat="false" ht="68.65" hidden="false" customHeight="false" outlineLevel="0" collapsed="false">
      <c r="A47" s="2" t="s">
        <v>141</v>
      </c>
      <c r="B47" s="2" t="s">
        <v>142</v>
      </c>
      <c r="C47" s="2" t="n">
        <f aca="false">LEN(B47)</f>
        <v>384</v>
      </c>
      <c r="D47" s="2" t="s">
        <v>143</v>
      </c>
      <c r="E47" s="2" t="n">
        <f aca="false">LEN(D47)</f>
        <v>181</v>
      </c>
      <c r="F47" s="2" t="str">
        <f aca="false">IF(LEFT(D47,8)="Dùng khi","Có","Không")</f>
        <v>Có</v>
      </c>
    </row>
    <row r="48" customFormat="false" ht="57.45" hidden="false" customHeight="false" outlineLevel="0" collapsed="false">
      <c r="A48" s="2" t="s">
        <v>144</v>
      </c>
      <c r="B48" s="2" t="s">
        <v>145</v>
      </c>
      <c r="C48" s="2" t="n">
        <f aca="false">LEN(B48)</f>
        <v>300</v>
      </c>
      <c r="D48" s="2" t="s">
        <v>146</v>
      </c>
      <c r="E48" s="2" t="n">
        <f aca="false">LEN(D48)</f>
        <v>188</v>
      </c>
      <c r="F48" s="2" t="str">
        <f aca="false">IF(LEFT(D48,8)="Dùng khi","Có","Không")</f>
        <v>Có</v>
      </c>
    </row>
    <row r="49" customFormat="false" ht="46.25" hidden="false" customHeight="false" outlineLevel="0" collapsed="false">
      <c r="A49" s="2" t="s">
        <v>147</v>
      </c>
      <c r="B49" s="2" t="s">
        <v>148</v>
      </c>
      <c r="C49" s="2" t="n">
        <f aca="false">LEN(B49)</f>
        <v>273</v>
      </c>
      <c r="D49" s="2" t="s">
        <v>149</v>
      </c>
      <c r="E49" s="2" t="n">
        <f aca="false">LEN(D49)</f>
        <v>181</v>
      </c>
      <c r="F49" s="2" t="str">
        <f aca="false">IF(LEFT(D49,8)="Dùng khi","Có","Không")</f>
        <v>Có</v>
      </c>
    </row>
    <row r="50" customFormat="false" ht="57.45" hidden="false" customHeight="false" outlineLevel="0" collapsed="false">
      <c r="A50" s="2" t="s">
        <v>150</v>
      </c>
      <c r="B50" s="2" t="s">
        <v>151</v>
      </c>
      <c r="C50" s="2" t="n">
        <f aca="false">LEN(B50)</f>
        <v>296</v>
      </c>
      <c r="D50" s="2" t="s">
        <v>152</v>
      </c>
      <c r="E50" s="2" t="n">
        <f aca="false">LEN(D50)</f>
        <v>135</v>
      </c>
      <c r="F50" s="2" t="str">
        <f aca="false">IF(LEFT(D50,8)="Dùng khi","Có","Không")</f>
        <v>Có</v>
      </c>
    </row>
    <row r="51" customFormat="false" ht="68.65" hidden="false" customHeight="false" outlineLevel="0" collapsed="false">
      <c r="A51" s="2" t="s">
        <v>153</v>
      </c>
      <c r="B51" s="2" t="s">
        <v>154</v>
      </c>
      <c r="C51" s="2" t="n">
        <f aca="false">LEN(B51)</f>
        <v>394</v>
      </c>
      <c r="D51" s="2" t="s">
        <v>155</v>
      </c>
      <c r="E51" s="2" t="n">
        <f aca="false">LEN(D51)</f>
        <v>232</v>
      </c>
      <c r="F51" s="2" t="str">
        <f aca="false">IF(LEFT(D51,8)="Dùng khi","Có","Không")</f>
        <v>Có</v>
      </c>
    </row>
    <row r="52" customFormat="false" ht="68.65" hidden="false" customHeight="false" outlineLevel="0" collapsed="false">
      <c r="A52" s="2" t="s">
        <v>156</v>
      </c>
      <c r="B52" s="2" t="s">
        <v>157</v>
      </c>
      <c r="C52" s="2" t="n">
        <f aca="false">LEN(B52)</f>
        <v>365</v>
      </c>
      <c r="D52" s="2" t="s">
        <v>158</v>
      </c>
      <c r="E52" s="2" t="n">
        <f aca="false">LEN(D52)</f>
        <v>186</v>
      </c>
      <c r="F52" s="2" t="str">
        <f aca="false">IF(LEFT(D52,8)="Dùng khi","Có","Không")</f>
        <v>Có</v>
      </c>
    </row>
    <row r="53" customFormat="false" ht="57.45" hidden="false" customHeight="false" outlineLevel="0" collapsed="false">
      <c r="A53" s="2" t="s">
        <v>159</v>
      </c>
      <c r="B53" s="2" t="s">
        <v>160</v>
      </c>
      <c r="C53" s="2" t="n">
        <f aca="false">LEN(B53)</f>
        <v>314</v>
      </c>
      <c r="D53" s="2" t="s">
        <v>161</v>
      </c>
      <c r="E53" s="2" t="n">
        <f aca="false">LEN(D53)</f>
        <v>186</v>
      </c>
      <c r="F53" s="2" t="str">
        <f aca="false">IF(LEFT(D53,8)="Dùng khi","Có","Không")</f>
        <v>Có</v>
      </c>
    </row>
    <row r="54" customFormat="false" ht="57.45" hidden="false" customHeight="false" outlineLevel="0" collapsed="false">
      <c r="A54" s="2" t="s">
        <v>162</v>
      </c>
      <c r="B54" s="2" t="s">
        <v>163</v>
      </c>
      <c r="C54" s="2" t="n">
        <f aca="false">LEN(B54)</f>
        <v>321</v>
      </c>
      <c r="D54" s="2" t="s">
        <v>164</v>
      </c>
      <c r="E54" s="2" t="n">
        <f aca="false">LEN(D54)</f>
        <v>210</v>
      </c>
      <c r="F54" s="2" t="str">
        <f aca="false">IF(LEFT(D54,8)="Dùng khi","Có","Không")</f>
        <v>Có</v>
      </c>
    </row>
    <row r="55" customFormat="false" ht="46.25" hidden="false" customHeight="false" outlineLevel="0" collapsed="false">
      <c r="A55" s="2" t="s">
        <v>165</v>
      </c>
      <c r="B55" s="2" t="s">
        <v>166</v>
      </c>
      <c r="C55" s="2" t="n">
        <f aca="false">LEN(B55)</f>
        <v>254</v>
      </c>
      <c r="D55" s="2" t="s">
        <v>167</v>
      </c>
      <c r="E55" s="2" t="n">
        <f aca="false">LEN(D55)</f>
        <v>161</v>
      </c>
      <c r="F55" s="2" t="str">
        <f aca="false">IF(LEFT(D55,8)="Dùng khi","Có","Không")</f>
        <v>Có</v>
      </c>
    </row>
    <row r="56" customFormat="false" ht="46.25" hidden="false" customHeight="false" outlineLevel="0" collapsed="false">
      <c r="A56" s="2" t="s">
        <v>168</v>
      </c>
      <c r="B56" s="2" t="s">
        <v>169</v>
      </c>
      <c r="C56" s="2" t="n">
        <f aca="false">LEN(B56)</f>
        <v>270</v>
      </c>
      <c r="D56" s="2" t="s">
        <v>170</v>
      </c>
      <c r="E56" s="2" t="n">
        <f aca="false">LEN(D56)</f>
        <v>157</v>
      </c>
      <c r="F56" s="2" t="str">
        <f aca="false">IF(LEFT(D56,8)="Dùng khi","Có","Không")</f>
        <v>Có</v>
      </c>
    </row>
    <row r="57" customFormat="false" ht="57.45" hidden="false" customHeight="false" outlineLevel="0" collapsed="false">
      <c r="A57" s="2" t="s">
        <v>171</v>
      </c>
      <c r="B57" s="2" t="s">
        <v>172</v>
      </c>
      <c r="C57" s="2" t="n">
        <f aca="false">LEN(B57)</f>
        <v>301</v>
      </c>
      <c r="D57" s="2" t="s">
        <v>173</v>
      </c>
      <c r="E57" s="2" t="n">
        <f aca="false">LEN(D57)</f>
        <v>224</v>
      </c>
      <c r="F57" s="2" t="str">
        <f aca="false">IF(LEFT(D57,8)="Dùng khi","Có","Không")</f>
        <v>Có</v>
      </c>
    </row>
    <row r="58" customFormat="false" ht="57.45" hidden="false" customHeight="false" outlineLevel="0" collapsed="false">
      <c r="A58" s="2" t="s">
        <v>174</v>
      </c>
      <c r="B58" s="2" t="s">
        <v>175</v>
      </c>
      <c r="C58" s="2" t="n">
        <f aca="false">LEN(B58)</f>
        <v>288</v>
      </c>
      <c r="D58" s="2" t="s">
        <v>176</v>
      </c>
      <c r="E58" s="2" t="n">
        <f aca="false">LEN(D58)</f>
        <v>213</v>
      </c>
      <c r="F58" s="2" t="str">
        <f aca="false">IF(LEFT(D58,8)="Dùng khi","Có","Không")</f>
        <v>Có</v>
      </c>
    </row>
    <row r="59" customFormat="false" ht="68.65" hidden="false" customHeight="false" outlineLevel="0" collapsed="false">
      <c r="A59" s="2" t="s">
        <v>177</v>
      </c>
      <c r="B59" s="2" t="s">
        <v>178</v>
      </c>
      <c r="C59" s="2" t="n">
        <f aca="false">LEN(B59)</f>
        <v>374</v>
      </c>
      <c r="D59" s="2" t="s">
        <v>179</v>
      </c>
      <c r="E59" s="2" t="n">
        <f aca="false">LEN(D59)</f>
        <v>208</v>
      </c>
      <c r="F59" s="2" t="str">
        <f aca="false">IF(LEFT(D59,8)="Dùng khi","Có","Không")</f>
        <v>Có</v>
      </c>
    </row>
    <row r="60" customFormat="false" ht="57.45" hidden="false" customHeight="false" outlineLevel="0" collapsed="false">
      <c r="A60" s="2" t="s">
        <v>180</v>
      </c>
      <c r="B60" s="2" t="s">
        <v>181</v>
      </c>
      <c r="C60" s="2" t="n">
        <f aca="false">LEN(B60)</f>
        <v>315</v>
      </c>
      <c r="D60" s="2" t="s">
        <v>182</v>
      </c>
      <c r="E60" s="2" t="n">
        <f aca="false">LEN(D60)</f>
        <v>201</v>
      </c>
      <c r="F60" s="2" t="str">
        <f aca="false">IF(LEFT(D60,8)="Dùng khi","Có","Không")</f>
        <v>Có</v>
      </c>
    </row>
    <row r="61" customFormat="false" ht="57.45" hidden="false" customHeight="false" outlineLevel="0" collapsed="false">
      <c r="A61" s="2" t="s">
        <v>183</v>
      </c>
      <c r="B61" s="2" t="s">
        <v>184</v>
      </c>
      <c r="C61" s="2" t="n">
        <f aca="false">LEN(B61)</f>
        <v>329</v>
      </c>
      <c r="D61" s="2" t="s">
        <v>185</v>
      </c>
      <c r="E61" s="2" t="n">
        <f aca="false">LEN(D61)</f>
        <v>210</v>
      </c>
      <c r="F61" s="2" t="str">
        <f aca="false">IF(LEFT(D61,8)="Dùng khi","Có","Không")</f>
        <v>Có</v>
      </c>
    </row>
    <row r="62" customFormat="false" ht="57.45" hidden="false" customHeight="false" outlineLevel="0" collapsed="false">
      <c r="A62" s="2" t="s">
        <v>186</v>
      </c>
      <c r="B62" s="2" t="s">
        <v>187</v>
      </c>
      <c r="C62" s="2" t="n">
        <f aca="false">LEN(B62)</f>
        <v>294</v>
      </c>
      <c r="D62" s="2" t="s">
        <v>188</v>
      </c>
      <c r="E62" s="2" t="n">
        <f aca="false">LEN(D62)</f>
        <v>158</v>
      </c>
      <c r="F62" s="2" t="str">
        <f aca="false">IF(LEFT(D62,8)="Dùng khi","Có","Không")</f>
        <v>Có</v>
      </c>
    </row>
    <row r="63" customFormat="false" ht="46.25" hidden="false" customHeight="false" outlineLevel="0" collapsed="false">
      <c r="A63" s="2" t="s">
        <v>189</v>
      </c>
      <c r="B63" s="2" t="s">
        <v>190</v>
      </c>
      <c r="C63" s="2" t="n">
        <f aca="false">LEN(B63)</f>
        <v>278</v>
      </c>
      <c r="D63" s="2" t="s">
        <v>191</v>
      </c>
      <c r="E63" s="2" t="n">
        <f aca="false">LEN(D63)</f>
        <v>174</v>
      </c>
      <c r="F63" s="2" t="str">
        <f aca="false">IF(LEFT(D63,8)="Dùng khi","Có","Không")</f>
        <v>Có</v>
      </c>
    </row>
    <row r="64" customFormat="false" ht="68.65" hidden="false" customHeight="false" outlineLevel="0" collapsed="false">
      <c r="A64" s="2" t="s">
        <v>192</v>
      </c>
      <c r="B64" s="2" t="s">
        <v>193</v>
      </c>
      <c r="C64" s="2" t="n">
        <f aca="false">LEN(B64)</f>
        <v>337</v>
      </c>
      <c r="D64" s="2" t="s">
        <v>194</v>
      </c>
      <c r="E64" s="2" t="n">
        <f aca="false">LEN(D64)</f>
        <v>222</v>
      </c>
      <c r="F64" s="2" t="str">
        <f aca="false">IF(LEFT(D64,8)="Dùng khi","Có","Không")</f>
        <v>Có</v>
      </c>
    </row>
    <row r="65" customFormat="false" ht="57.45" hidden="false" customHeight="false" outlineLevel="0" collapsed="false">
      <c r="A65" s="2" t="s">
        <v>195</v>
      </c>
      <c r="B65" s="2" t="s">
        <v>196</v>
      </c>
      <c r="C65" s="2" t="n">
        <f aca="false">LEN(B65)</f>
        <v>326</v>
      </c>
      <c r="D65" s="2" t="s">
        <v>197</v>
      </c>
      <c r="E65" s="2" t="n">
        <f aca="false">LEN(D65)</f>
        <v>214</v>
      </c>
      <c r="F65" s="2" t="str">
        <f aca="false">IF(LEFT(D65,8)="Dùng khi","Có","Không")</f>
        <v>Có</v>
      </c>
    </row>
    <row r="66" customFormat="false" ht="57.45" hidden="false" customHeight="false" outlineLevel="0" collapsed="false">
      <c r="A66" s="2" t="s">
        <v>198</v>
      </c>
      <c r="B66" s="2" t="s">
        <v>199</v>
      </c>
      <c r="C66" s="2" t="n">
        <f aca="false">LEN(B66)</f>
        <v>309</v>
      </c>
      <c r="D66" s="2" t="s">
        <v>200</v>
      </c>
      <c r="E66" s="2" t="n">
        <f aca="false">LEN(D66)</f>
        <v>200</v>
      </c>
      <c r="F66" s="2" t="str">
        <f aca="false">IF(LEFT(D66,8)="Dùng khi","Có","Không")</f>
        <v>Có</v>
      </c>
    </row>
    <row r="67" customFormat="false" ht="57.45" hidden="false" customHeight="false" outlineLevel="0" collapsed="false">
      <c r="A67" s="2" t="s">
        <v>201</v>
      </c>
      <c r="B67" s="2" t="s">
        <v>202</v>
      </c>
      <c r="C67" s="2" t="n">
        <f aca="false">LEN(B67)</f>
        <v>294</v>
      </c>
      <c r="D67" s="2" t="s">
        <v>203</v>
      </c>
      <c r="E67" s="2" t="n">
        <f aca="false">LEN(D67)</f>
        <v>210</v>
      </c>
      <c r="F67" s="2" t="str">
        <f aca="false">IF(LEFT(D67,8)="Dùng khi","Có","Không")</f>
        <v>Có</v>
      </c>
    </row>
    <row r="68" customFormat="false" ht="57.45" hidden="false" customHeight="false" outlineLevel="0" collapsed="false">
      <c r="A68" s="2" t="s">
        <v>204</v>
      </c>
      <c r="B68" s="2" t="s">
        <v>205</v>
      </c>
      <c r="C68" s="2" t="n">
        <f aca="false">LEN(B68)</f>
        <v>287</v>
      </c>
      <c r="D68" s="2" t="s">
        <v>206</v>
      </c>
      <c r="E68" s="2" t="n">
        <f aca="false">LEN(D68)</f>
        <v>204</v>
      </c>
      <c r="F68" s="2" t="str">
        <f aca="false">IF(LEFT(D68,8)="Dùng khi","Có","Không")</f>
        <v>Có</v>
      </c>
    </row>
    <row r="69" customFormat="false" ht="57.45" hidden="false" customHeight="false" outlineLevel="0" collapsed="false">
      <c r="A69" s="2" t="s">
        <v>207</v>
      </c>
      <c r="B69" s="2" t="s">
        <v>208</v>
      </c>
      <c r="C69" s="2" t="n">
        <f aca="false">LEN(B69)</f>
        <v>351</v>
      </c>
      <c r="D69" s="2" t="s">
        <v>209</v>
      </c>
      <c r="E69" s="2" t="n">
        <f aca="false">LEN(D69)</f>
        <v>218</v>
      </c>
      <c r="F69" s="2" t="str">
        <f aca="false">IF(LEFT(D69,8)="Dùng khi","Có","Không")</f>
        <v>Có</v>
      </c>
    </row>
    <row r="70" customFormat="false" ht="57.45" hidden="false" customHeight="false" outlineLevel="0" collapsed="false">
      <c r="A70" s="2" t="s">
        <v>210</v>
      </c>
      <c r="B70" s="2" t="s">
        <v>211</v>
      </c>
      <c r="C70" s="2" t="n">
        <f aca="false">LEN(B70)</f>
        <v>285</v>
      </c>
      <c r="D70" s="2" t="s">
        <v>212</v>
      </c>
      <c r="E70" s="2" t="n">
        <f aca="false">LEN(D70)</f>
        <v>209</v>
      </c>
      <c r="F70" s="2" t="str">
        <f aca="false">IF(LEFT(D70,8)="Dùng khi","Có","Không")</f>
        <v>Có</v>
      </c>
    </row>
    <row r="71" customFormat="false" ht="46.25" hidden="false" customHeight="false" outlineLevel="0" collapsed="false">
      <c r="A71" s="2" t="s">
        <v>213</v>
      </c>
      <c r="B71" s="2" t="s">
        <v>214</v>
      </c>
      <c r="C71" s="2" t="n">
        <f aca="false">LEN(B71)</f>
        <v>254</v>
      </c>
      <c r="D71" s="2" t="s">
        <v>215</v>
      </c>
      <c r="E71" s="2" t="n">
        <f aca="false">LEN(D71)</f>
        <v>177</v>
      </c>
      <c r="F71" s="2" t="str">
        <f aca="false">IF(LEFT(D71,8)="Dùng khi","Có","Không")</f>
        <v>Có</v>
      </c>
    </row>
    <row r="72" customFormat="false" ht="46.25" hidden="false" customHeight="false" outlineLevel="0" collapsed="false">
      <c r="A72" s="2" t="s">
        <v>216</v>
      </c>
      <c r="B72" s="2" t="s">
        <v>217</v>
      </c>
      <c r="C72" s="2" t="n">
        <f aca="false">LEN(B72)</f>
        <v>248</v>
      </c>
      <c r="D72" s="2" t="s">
        <v>218</v>
      </c>
      <c r="E72" s="2" t="n">
        <f aca="false">LEN(D72)</f>
        <v>164</v>
      </c>
      <c r="F72" s="2" t="str">
        <f aca="false">IF(LEFT(D72,8)="Dùng khi","Có","Không")</f>
        <v>Có</v>
      </c>
    </row>
    <row r="73" customFormat="false" ht="57.45" hidden="false" customHeight="false" outlineLevel="0" collapsed="false">
      <c r="A73" s="2" t="s">
        <v>219</v>
      </c>
      <c r="B73" s="2" t="s">
        <v>220</v>
      </c>
      <c r="C73" s="2" t="n">
        <f aca="false">LEN(B73)</f>
        <v>293</v>
      </c>
      <c r="D73" s="2" t="s">
        <v>221</v>
      </c>
      <c r="E73" s="2" t="n">
        <f aca="false">LEN(D73)</f>
        <v>152</v>
      </c>
      <c r="F73" s="2" t="str">
        <f aca="false">IF(LEFT(D73,8)="Dùng khi","Có","Không")</f>
        <v>Có</v>
      </c>
    </row>
    <row r="74" customFormat="false" ht="46.25" hidden="false" customHeight="false" outlineLevel="0" collapsed="false">
      <c r="A74" s="2" t="s">
        <v>222</v>
      </c>
      <c r="B74" s="2" t="s">
        <v>223</v>
      </c>
      <c r="C74" s="2" t="n">
        <f aca="false">LEN(B74)</f>
        <v>257</v>
      </c>
      <c r="D74" s="2" t="s">
        <v>224</v>
      </c>
      <c r="E74" s="2" t="n">
        <f aca="false">LEN(D74)</f>
        <v>141</v>
      </c>
      <c r="F74" s="2" t="str">
        <f aca="false">IF(LEFT(D74,8)="Dùng khi","Có","Không")</f>
        <v>Có</v>
      </c>
    </row>
    <row r="75" customFormat="false" ht="57.45" hidden="false" customHeight="false" outlineLevel="0" collapsed="false">
      <c r="A75" s="2" t="s">
        <v>225</v>
      </c>
      <c r="B75" s="2" t="s">
        <v>226</v>
      </c>
      <c r="C75" s="2" t="n">
        <f aca="false">LEN(B75)</f>
        <v>330</v>
      </c>
      <c r="D75" s="2" t="s">
        <v>227</v>
      </c>
      <c r="E75" s="2" t="n">
        <f aca="false">LEN(D75)</f>
        <v>144</v>
      </c>
      <c r="F75" s="2" t="str">
        <f aca="false">IF(LEFT(D75,8)="Dùng khi","Có","Không")</f>
        <v>Có</v>
      </c>
    </row>
    <row r="76" customFormat="false" ht="57.45" hidden="false" customHeight="false" outlineLevel="0" collapsed="false">
      <c r="A76" s="2" t="s">
        <v>228</v>
      </c>
      <c r="B76" s="2" t="s">
        <v>229</v>
      </c>
      <c r="C76" s="2" t="n">
        <f aca="false">LEN(B76)</f>
        <v>322</v>
      </c>
      <c r="D76" s="2" t="s">
        <v>230</v>
      </c>
      <c r="E76" s="2" t="n">
        <f aca="false">LEN(D76)</f>
        <v>159</v>
      </c>
      <c r="F76" s="2" t="str">
        <f aca="false">IF(LEFT(D76,8)="Dùng khi","Có","Không")</f>
        <v>Có</v>
      </c>
    </row>
    <row r="77" customFormat="false" ht="57.45" hidden="false" customHeight="false" outlineLevel="0" collapsed="false">
      <c r="A77" s="2" t="s">
        <v>231</v>
      </c>
      <c r="B77" s="2" t="s">
        <v>232</v>
      </c>
      <c r="C77" s="2" t="n">
        <f aca="false">LEN(B77)</f>
        <v>318</v>
      </c>
      <c r="D77" s="2" t="s">
        <v>233</v>
      </c>
      <c r="E77" s="2" t="n">
        <f aca="false">LEN(D77)</f>
        <v>190</v>
      </c>
      <c r="F77" s="2" t="str">
        <f aca="false">IF(LEFT(D77,8)="Dùng khi","Có","Không")</f>
        <v>Có</v>
      </c>
    </row>
    <row r="78" customFormat="false" ht="46.25" hidden="false" customHeight="false" outlineLevel="0" collapsed="false">
      <c r="A78" s="2" t="s">
        <v>234</v>
      </c>
      <c r="B78" s="2" t="s">
        <v>235</v>
      </c>
      <c r="C78" s="2" t="n">
        <f aca="false">LEN(B78)</f>
        <v>266</v>
      </c>
      <c r="D78" s="2" t="s">
        <v>236</v>
      </c>
      <c r="E78" s="2" t="n">
        <f aca="false">LEN(D78)</f>
        <v>170</v>
      </c>
      <c r="F78" s="2" t="str">
        <f aca="false">IF(LEFT(D78,8)="Dùng khi","Có","Không")</f>
        <v>Có</v>
      </c>
    </row>
    <row r="79" customFormat="false" ht="68.65" hidden="false" customHeight="false" outlineLevel="0" collapsed="false">
      <c r="A79" s="2" t="s">
        <v>237</v>
      </c>
      <c r="B79" s="2" t="s">
        <v>238</v>
      </c>
      <c r="C79" s="2" t="n">
        <f aca="false">LEN(B79)</f>
        <v>352</v>
      </c>
      <c r="D79" s="2" t="s">
        <v>239</v>
      </c>
      <c r="E79" s="2" t="n">
        <f aca="false">LEN(D79)</f>
        <v>180</v>
      </c>
      <c r="F79" s="2" t="str">
        <f aca="false">IF(LEFT(D79,8)="Dùng khi","Có","Không")</f>
        <v>Có</v>
      </c>
    </row>
    <row r="80" customFormat="false" ht="46.25" hidden="false" customHeight="false" outlineLevel="0" collapsed="false">
      <c r="A80" s="2" t="s">
        <v>240</v>
      </c>
      <c r="B80" s="2" t="s">
        <v>241</v>
      </c>
      <c r="C80" s="2" t="n">
        <f aca="false">LEN(B80)</f>
        <v>234</v>
      </c>
      <c r="D80" s="2" t="s">
        <v>242</v>
      </c>
      <c r="E80" s="2" t="n">
        <f aca="false">LEN(D80)</f>
        <v>150</v>
      </c>
      <c r="F80" s="2" t="str">
        <f aca="false">IF(LEFT(D80,8)="Dùng khi","Có","Không")</f>
        <v>Có</v>
      </c>
    </row>
    <row r="81" customFormat="false" ht="57.45" hidden="false" customHeight="false" outlineLevel="0" collapsed="false">
      <c r="A81" s="2" t="s">
        <v>243</v>
      </c>
      <c r="B81" s="2" t="s">
        <v>244</v>
      </c>
      <c r="C81" s="2" t="n">
        <f aca="false">LEN(B81)</f>
        <v>316</v>
      </c>
      <c r="D81" s="2" t="s">
        <v>245</v>
      </c>
      <c r="E81" s="2" t="n">
        <f aca="false">LEN(D81)</f>
        <v>164</v>
      </c>
      <c r="F81" s="2" t="str">
        <f aca="false">IF(LEFT(D81,8)="Dùng khi","Có","Không")</f>
        <v>Có</v>
      </c>
    </row>
    <row r="82" customFormat="false" ht="57.45" hidden="false" customHeight="false" outlineLevel="0" collapsed="false">
      <c r="A82" s="2" t="s">
        <v>246</v>
      </c>
      <c r="B82" s="2" t="s">
        <v>247</v>
      </c>
      <c r="C82" s="2" t="n">
        <f aca="false">LEN(B82)</f>
        <v>292</v>
      </c>
      <c r="D82" s="2" t="s">
        <v>248</v>
      </c>
      <c r="E82" s="2" t="n">
        <f aca="false">LEN(D82)</f>
        <v>171</v>
      </c>
      <c r="F82" s="2" t="str">
        <f aca="false">IF(LEFT(D82,8)="Dùng khi","Có","Không")</f>
        <v>Có</v>
      </c>
    </row>
    <row r="83" customFormat="false" ht="57.45" hidden="false" customHeight="false" outlineLevel="0" collapsed="false">
      <c r="A83" s="2" t="s">
        <v>249</v>
      </c>
      <c r="B83" s="2" t="s">
        <v>250</v>
      </c>
      <c r="C83" s="2" t="n">
        <f aca="false">LEN(B83)</f>
        <v>287</v>
      </c>
      <c r="D83" s="2" t="s">
        <v>251</v>
      </c>
      <c r="E83" s="2" t="n">
        <f aca="false">LEN(D83)</f>
        <v>164</v>
      </c>
      <c r="F83" s="2" t="str">
        <f aca="false">IF(LEFT(D83,8)="Dùng khi","Có","Không")</f>
        <v>Có</v>
      </c>
    </row>
    <row r="84" customFormat="false" ht="57.45" hidden="false" customHeight="false" outlineLevel="0" collapsed="false">
      <c r="A84" s="2" t="s">
        <v>252</v>
      </c>
      <c r="B84" s="2" t="s">
        <v>253</v>
      </c>
      <c r="C84" s="2" t="n">
        <f aca="false">LEN(B84)</f>
        <v>339</v>
      </c>
      <c r="D84" s="2" t="s">
        <v>254</v>
      </c>
      <c r="E84" s="2" t="n">
        <f aca="false">LEN(D84)</f>
        <v>151</v>
      </c>
      <c r="F84" s="2" t="str">
        <f aca="false">IF(LEFT(D84,8)="Dùng khi","Có","Không")</f>
        <v>Có</v>
      </c>
    </row>
    <row r="85" customFormat="false" ht="57.45" hidden="false" customHeight="false" outlineLevel="0" collapsed="false">
      <c r="A85" s="2" t="s">
        <v>255</v>
      </c>
      <c r="B85" s="2" t="s">
        <v>256</v>
      </c>
      <c r="C85" s="2" t="n">
        <f aca="false">LEN(B85)</f>
        <v>304</v>
      </c>
      <c r="D85" s="2" t="s">
        <v>257</v>
      </c>
      <c r="E85" s="2" t="n">
        <f aca="false">LEN(D85)</f>
        <v>165</v>
      </c>
      <c r="F85" s="2" t="str">
        <f aca="false">IF(LEFT(D85,8)="Dùng khi","Có","Không")</f>
        <v>Có</v>
      </c>
    </row>
    <row r="86" customFormat="false" ht="57.45" hidden="false" customHeight="false" outlineLevel="0" collapsed="false">
      <c r="A86" s="2" t="s">
        <v>258</v>
      </c>
      <c r="B86" s="2" t="s">
        <v>259</v>
      </c>
      <c r="C86" s="2" t="n">
        <f aca="false">LEN(B86)</f>
        <v>346</v>
      </c>
      <c r="D86" s="2" t="s">
        <v>260</v>
      </c>
      <c r="E86" s="2" t="n">
        <f aca="false">LEN(D86)</f>
        <v>192</v>
      </c>
      <c r="F86" s="2" t="str">
        <f aca="false">IF(LEFT(D86,8)="Dùng khi","Có","Không")</f>
        <v>Có</v>
      </c>
    </row>
    <row r="87" customFormat="false" ht="57.45" hidden="false" customHeight="false" outlineLevel="0" collapsed="false">
      <c r="A87" s="2" t="s">
        <v>261</v>
      </c>
      <c r="B87" s="2" t="s">
        <v>262</v>
      </c>
      <c r="C87" s="2" t="n">
        <f aca="false">LEN(B87)</f>
        <v>321</v>
      </c>
      <c r="D87" s="2" t="s">
        <v>263</v>
      </c>
      <c r="E87" s="2" t="n">
        <f aca="false">LEN(D87)</f>
        <v>173</v>
      </c>
      <c r="F87" s="2" t="str">
        <f aca="false">IF(LEFT(D87,8)="Dùng khi","Có","Không")</f>
        <v>Có</v>
      </c>
    </row>
    <row r="88" customFormat="false" ht="46.25" hidden="false" customHeight="false" outlineLevel="0" collapsed="false">
      <c r="A88" s="2" t="s">
        <v>264</v>
      </c>
      <c r="B88" s="2" t="s">
        <v>265</v>
      </c>
      <c r="C88" s="2" t="n">
        <f aca="false">LEN(B88)</f>
        <v>238</v>
      </c>
      <c r="D88" s="2" t="s">
        <v>266</v>
      </c>
      <c r="E88" s="2" t="n">
        <f aca="false">LEN(D88)</f>
        <v>166</v>
      </c>
      <c r="F88" s="2" t="str">
        <f aca="false">IF(LEFT(D88,8)="Dùng khi","Có","Không")</f>
        <v>Có</v>
      </c>
    </row>
    <row r="89" customFormat="false" ht="57.45" hidden="false" customHeight="false" outlineLevel="0" collapsed="false">
      <c r="A89" s="2" t="s">
        <v>267</v>
      </c>
      <c r="B89" s="2" t="s">
        <v>268</v>
      </c>
      <c r="C89" s="2" t="n">
        <f aca="false">LEN(B89)</f>
        <v>335</v>
      </c>
      <c r="D89" s="2" t="s">
        <v>269</v>
      </c>
      <c r="E89" s="2" t="n">
        <f aca="false">LEN(D89)</f>
        <v>171</v>
      </c>
      <c r="F89" s="2" t="str">
        <f aca="false">IF(LEFT(D89,8)="Dùng khi","Có","Không")</f>
        <v>Có</v>
      </c>
    </row>
    <row r="90" customFormat="false" ht="57.45" hidden="false" customHeight="false" outlineLevel="0" collapsed="false">
      <c r="A90" s="2" t="s">
        <v>270</v>
      </c>
      <c r="B90" s="2" t="s">
        <v>271</v>
      </c>
      <c r="C90" s="2" t="n">
        <f aca="false">LEN(B90)</f>
        <v>276</v>
      </c>
      <c r="D90" s="2" t="s">
        <v>272</v>
      </c>
      <c r="E90" s="2" t="n">
        <f aca="false">LEN(D90)</f>
        <v>167</v>
      </c>
      <c r="F90" s="2" t="str">
        <f aca="false">IF(LEFT(D90,8)="Dùng khi","Có","Không")</f>
        <v>Có</v>
      </c>
    </row>
    <row r="91" customFormat="false" ht="57.45" hidden="false" customHeight="false" outlineLevel="0" collapsed="false">
      <c r="A91" s="2" t="s">
        <v>273</v>
      </c>
      <c r="B91" s="2" t="s">
        <v>274</v>
      </c>
      <c r="C91" s="2" t="n">
        <f aca="false">LEN(B91)</f>
        <v>315</v>
      </c>
      <c r="D91" s="2" t="s">
        <v>275</v>
      </c>
      <c r="E91" s="2" t="n">
        <f aca="false">LEN(D91)</f>
        <v>187</v>
      </c>
      <c r="F91" s="2" t="str">
        <f aca="false">IF(LEFT(D91,8)="Dùng khi","Có","Không")</f>
        <v>Có</v>
      </c>
    </row>
    <row r="92" customFormat="false" ht="68.65" hidden="false" customHeight="false" outlineLevel="0" collapsed="false">
      <c r="A92" s="2" t="s">
        <v>276</v>
      </c>
      <c r="B92" s="2" t="s">
        <v>277</v>
      </c>
      <c r="C92" s="2" t="n">
        <f aca="false">LEN(B92)</f>
        <v>381</v>
      </c>
      <c r="D92" s="2" t="s">
        <v>278</v>
      </c>
      <c r="E92" s="2" t="n">
        <f aca="false">LEN(D92)</f>
        <v>214</v>
      </c>
      <c r="F92" s="2" t="str">
        <f aca="false">IF(LEFT(D92,8)="Dùng khi","Có","Không")</f>
        <v>Có</v>
      </c>
    </row>
    <row r="93" customFormat="false" ht="68.65" hidden="false" customHeight="false" outlineLevel="0" collapsed="false">
      <c r="A93" s="2" t="s">
        <v>279</v>
      </c>
      <c r="B93" s="2" t="s">
        <v>280</v>
      </c>
      <c r="C93" s="2" t="n">
        <f aca="false">LEN(B93)</f>
        <v>354</v>
      </c>
      <c r="D93" s="2" t="s">
        <v>281</v>
      </c>
      <c r="E93" s="2" t="n">
        <f aca="false">LEN(D93)</f>
        <v>202</v>
      </c>
      <c r="F93" s="2" t="str">
        <f aca="false">IF(LEFT(D93,8)="Dùng khi","Có","Không")</f>
        <v>Có</v>
      </c>
    </row>
    <row r="94" customFormat="false" ht="57.45" hidden="false" customHeight="false" outlineLevel="0" collapsed="false">
      <c r="A94" s="2" t="s">
        <v>282</v>
      </c>
      <c r="B94" s="2" t="s">
        <v>283</v>
      </c>
      <c r="C94" s="2" t="n">
        <f aca="false">LEN(B94)</f>
        <v>300</v>
      </c>
      <c r="D94" s="2" t="s">
        <v>284</v>
      </c>
      <c r="E94" s="2" t="n">
        <f aca="false">LEN(D94)</f>
        <v>150</v>
      </c>
      <c r="F94" s="2" t="str">
        <f aca="false">IF(LEFT(D94,8)="Dùng khi","Có","Không")</f>
        <v>Có</v>
      </c>
    </row>
    <row r="95" customFormat="false" ht="68.65" hidden="false" customHeight="false" outlineLevel="0" collapsed="false">
      <c r="A95" s="2" t="s">
        <v>285</v>
      </c>
      <c r="B95" s="2" t="s">
        <v>286</v>
      </c>
      <c r="C95" s="2" t="n">
        <f aca="false">LEN(B95)</f>
        <v>357</v>
      </c>
      <c r="D95" s="2" t="s">
        <v>287</v>
      </c>
      <c r="E95" s="2" t="n">
        <f aca="false">LEN(D95)</f>
        <v>200</v>
      </c>
      <c r="F95" s="2" t="str">
        <f aca="false">IF(LEFT(D95,8)="Dùng khi","Có","Không")</f>
        <v>Không</v>
      </c>
    </row>
    <row r="96" customFormat="false" ht="57.45" hidden="false" customHeight="false" outlineLevel="0" collapsed="false">
      <c r="A96" s="2" t="s">
        <v>288</v>
      </c>
      <c r="B96" s="2" t="s">
        <v>289</v>
      </c>
      <c r="C96" s="2" t="n">
        <f aca="false">LEN(B96)</f>
        <v>288</v>
      </c>
      <c r="D96" s="2" t="s">
        <v>290</v>
      </c>
      <c r="E96" s="2" t="n">
        <f aca="false">LEN(D96)</f>
        <v>169</v>
      </c>
      <c r="F96" s="2" t="str">
        <f aca="false">IF(LEFT(D96,8)="Dùng khi","Có","Không")</f>
        <v>Không</v>
      </c>
    </row>
    <row r="97" customFormat="false" ht="68.65" hidden="false" customHeight="false" outlineLevel="0" collapsed="false">
      <c r="A97" s="2" t="s">
        <v>291</v>
      </c>
      <c r="B97" s="2" t="s">
        <v>292</v>
      </c>
      <c r="C97" s="2" t="n">
        <f aca="false">LEN(B97)</f>
        <v>360</v>
      </c>
      <c r="D97" s="2" t="s">
        <v>293</v>
      </c>
      <c r="E97" s="2" t="n">
        <f aca="false">LEN(D97)</f>
        <v>168</v>
      </c>
      <c r="F97" s="2" t="str">
        <f aca="false">IF(LEFT(D97,8)="Dùng khi","Có","Không")</f>
        <v>Có</v>
      </c>
    </row>
    <row r="98" customFormat="false" ht="57.45" hidden="false" customHeight="false" outlineLevel="0" collapsed="false">
      <c r="A98" s="2" t="s">
        <v>294</v>
      </c>
      <c r="B98" s="2" t="s">
        <v>295</v>
      </c>
      <c r="C98" s="2" t="n">
        <f aca="false">LEN(B98)</f>
        <v>340</v>
      </c>
      <c r="D98" s="2" t="s">
        <v>296</v>
      </c>
      <c r="E98" s="2" t="n">
        <f aca="false">LEN(D98)</f>
        <v>188</v>
      </c>
      <c r="F98" s="2" t="str">
        <f aca="false">IF(LEFT(D98,8)="Dùng khi","Có","Không")</f>
        <v>Có</v>
      </c>
    </row>
    <row r="99" customFormat="false" ht="57.45" hidden="false" customHeight="false" outlineLevel="0" collapsed="false">
      <c r="A99" s="2" t="s">
        <v>297</v>
      </c>
      <c r="B99" s="2" t="s">
        <v>298</v>
      </c>
      <c r="C99" s="2" t="n">
        <f aca="false">LEN(B99)</f>
        <v>341</v>
      </c>
      <c r="D99" s="2" t="s">
        <v>299</v>
      </c>
      <c r="E99" s="2" t="n">
        <f aca="false">LEN(D99)</f>
        <v>193</v>
      </c>
      <c r="F99" s="2" t="str">
        <f aca="false">IF(LEFT(D99,8)="Dùng khi","Có","Không")</f>
        <v>Có</v>
      </c>
    </row>
    <row r="100" customFormat="false" ht="68.65" hidden="false" customHeight="false" outlineLevel="0" collapsed="false">
      <c r="A100" s="2" t="s">
        <v>300</v>
      </c>
      <c r="B100" s="2" t="s">
        <v>301</v>
      </c>
      <c r="C100" s="2" t="n">
        <f aca="false">LEN(B100)</f>
        <v>381</v>
      </c>
      <c r="D100" s="2" t="s">
        <v>302</v>
      </c>
      <c r="E100" s="2" t="n">
        <f aca="false">LEN(D100)</f>
        <v>178</v>
      </c>
      <c r="F100" s="2" t="str">
        <f aca="false">IF(LEFT(D100,8)="Dùng khi","Có","Không")</f>
        <v>Có</v>
      </c>
    </row>
    <row r="101" customFormat="false" ht="57.45" hidden="false" customHeight="false" outlineLevel="0" collapsed="false">
      <c r="A101" s="2" t="s">
        <v>303</v>
      </c>
      <c r="B101" s="2" t="s">
        <v>304</v>
      </c>
      <c r="C101" s="2" t="n">
        <f aca="false">LEN(B101)</f>
        <v>278</v>
      </c>
      <c r="D101" s="2" t="s">
        <v>305</v>
      </c>
      <c r="E101" s="2" t="n">
        <f aca="false">LEN(D101)</f>
        <v>167</v>
      </c>
      <c r="F101" s="2" t="str">
        <f aca="false">IF(LEFT(D101,8)="Dùng khi","Có","Không")</f>
        <v>Có</v>
      </c>
    </row>
    <row r="102" customFormat="false" ht="57.45" hidden="false" customHeight="false" outlineLevel="0" collapsed="false">
      <c r="A102" s="2" t="s">
        <v>306</v>
      </c>
      <c r="B102" s="2" t="s">
        <v>307</v>
      </c>
      <c r="C102" s="2" t="n">
        <f aca="false">LEN(B102)</f>
        <v>282</v>
      </c>
      <c r="D102" s="2" t="s">
        <v>308</v>
      </c>
      <c r="E102" s="2" t="n">
        <f aca="false">LEN(D102)</f>
        <v>150</v>
      </c>
      <c r="F102" s="2" t="str">
        <f aca="false">IF(LEFT(D102,8)="Dùng khi","Có","Không")</f>
        <v>Có</v>
      </c>
    </row>
    <row r="103" customFormat="false" ht="57.45" hidden="false" customHeight="false" outlineLevel="0" collapsed="false">
      <c r="A103" s="2" t="s">
        <v>309</v>
      </c>
      <c r="B103" s="2" t="s">
        <v>310</v>
      </c>
      <c r="C103" s="2" t="n">
        <f aca="false">LEN(B103)</f>
        <v>329</v>
      </c>
      <c r="D103" s="2" t="s">
        <v>311</v>
      </c>
      <c r="E103" s="2" t="n">
        <f aca="false">LEN(D103)</f>
        <v>152</v>
      </c>
      <c r="F103" s="2" t="str">
        <f aca="false">IF(LEFT(D103,8)="Dùng khi","Có","Không")</f>
        <v>Có</v>
      </c>
    </row>
    <row r="104" customFormat="false" ht="57.45" hidden="false" customHeight="false" outlineLevel="0" collapsed="false">
      <c r="A104" s="2" t="s">
        <v>312</v>
      </c>
      <c r="B104" s="2" t="s">
        <v>313</v>
      </c>
      <c r="C104" s="2" t="n">
        <f aca="false">LEN(B104)</f>
        <v>302</v>
      </c>
      <c r="D104" s="2" t="s">
        <v>314</v>
      </c>
      <c r="E104" s="2" t="n">
        <f aca="false">LEN(D104)</f>
        <v>216</v>
      </c>
      <c r="F104" s="2" t="str">
        <f aca="false">IF(LEFT(D104,8)="Dùng khi","Có","Không")</f>
        <v>Có</v>
      </c>
    </row>
    <row r="105" customFormat="false" ht="57.45" hidden="false" customHeight="false" outlineLevel="0" collapsed="false">
      <c r="A105" s="2" t="s">
        <v>315</v>
      </c>
      <c r="B105" s="2" t="s">
        <v>316</v>
      </c>
      <c r="C105" s="2" t="n">
        <f aca="false">LEN(B105)</f>
        <v>318</v>
      </c>
      <c r="D105" s="2" t="s">
        <v>317</v>
      </c>
      <c r="E105" s="2" t="n">
        <f aca="false">LEN(D105)</f>
        <v>193</v>
      </c>
      <c r="F105" s="2" t="str">
        <f aca="false">IF(LEFT(D105,8)="Dùng khi","Có","Không")</f>
        <v>Có</v>
      </c>
    </row>
    <row r="106" customFormat="false" ht="68.65" hidden="false" customHeight="false" outlineLevel="0" collapsed="false">
      <c r="A106" s="2" t="s">
        <v>318</v>
      </c>
      <c r="B106" s="2" t="s">
        <v>319</v>
      </c>
      <c r="C106" s="2" t="n">
        <f aca="false">LEN(B106)</f>
        <v>391</v>
      </c>
      <c r="D106" s="2" t="s">
        <v>320</v>
      </c>
      <c r="E106" s="2" t="n">
        <f aca="false">LEN(D106)</f>
        <v>179</v>
      </c>
      <c r="F106" s="2" t="str">
        <f aca="false">IF(LEFT(D106,8)="Dùng khi","Có","Không")</f>
        <v>Có</v>
      </c>
    </row>
    <row r="107" customFormat="false" ht="46.25" hidden="false" customHeight="false" outlineLevel="0" collapsed="false">
      <c r="A107" s="2" t="s">
        <v>321</v>
      </c>
      <c r="B107" s="2" t="s">
        <v>322</v>
      </c>
      <c r="C107" s="2" t="n">
        <f aca="false">LEN(B107)</f>
        <v>267</v>
      </c>
      <c r="D107" s="2" t="s">
        <v>323</v>
      </c>
      <c r="E107" s="2" t="n">
        <f aca="false">LEN(D107)</f>
        <v>151</v>
      </c>
      <c r="F107" s="2" t="str">
        <f aca="false">IF(LEFT(D107,8)="Dùng khi","Có","Không")</f>
        <v>Có</v>
      </c>
    </row>
    <row r="108" customFormat="false" ht="57.45" hidden="false" customHeight="false" outlineLevel="0" collapsed="false">
      <c r="A108" s="2" t="s">
        <v>324</v>
      </c>
      <c r="B108" s="2" t="s">
        <v>325</v>
      </c>
      <c r="C108" s="2" t="n">
        <f aca="false">LEN(B108)</f>
        <v>282</v>
      </c>
      <c r="D108" s="2" t="s">
        <v>326</v>
      </c>
      <c r="E108" s="2" t="n">
        <f aca="false">LEN(D108)</f>
        <v>152</v>
      </c>
      <c r="F108" s="2" t="str">
        <f aca="false">IF(LEFT(D108,8)="Dùng khi","Có","Không")</f>
        <v>Có</v>
      </c>
    </row>
    <row r="109" customFormat="false" ht="68.65" hidden="false" customHeight="false" outlineLevel="0" collapsed="false">
      <c r="A109" s="2" t="s">
        <v>327</v>
      </c>
      <c r="B109" s="2" t="s">
        <v>328</v>
      </c>
      <c r="C109" s="2" t="n">
        <f aca="false">LEN(B109)</f>
        <v>383</v>
      </c>
      <c r="D109" s="2" t="s">
        <v>329</v>
      </c>
      <c r="E109" s="2" t="n">
        <f aca="false">LEN(D109)</f>
        <v>185</v>
      </c>
      <c r="F109" s="2" t="str">
        <f aca="false">IF(LEFT(D109,8)="Dùng khi","Có","Không")</f>
        <v>Có</v>
      </c>
    </row>
    <row r="110" customFormat="false" ht="68.65" hidden="false" customHeight="false" outlineLevel="0" collapsed="false">
      <c r="A110" s="2" t="s">
        <v>330</v>
      </c>
      <c r="B110" s="2" t="s">
        <v>331</v>
      </c>
      <c r="C110" s="2" t="n">
        <f aca="false">LEN(B110)</f>
        <v>352</v>
      </c>
      <c r="D110" s="2" t="s">
        <v>332</v>
      </c>
      <c r="E110" s="2" t="n">
        <f aca="false">LEN(D110)</f>
        <v>165</v>
      </c>
      <c r="F110" s="2" t="str">
        <f aca="false">IF(LEFT(D110,8)="Dùng khi","Có","Không")</f>
        <v>Có</v>
      </c>
    </row>
    <row r="111" customFormat="false" ht="57.45" hidden="false" customHeight="false" outlineLevel="0" collapsed="false">
      <c r="A111" s="2" t="s">
        <v>333</v>
      </c>
      <c r="B111" s="2" t="s">
        <v>334</v>
      </c>
      <c r="C111" s="2" t="n">
        <f aca="false">LEN(B111)</f>
        <v>277</v>
      </c>
      <c r="D111" s="2" t="s">
        <v>335</v>
      </c>
      <c r="E111" s="2" t="n">
        <f aca="false">LEN(D111)</f>
        <v>161</v>
      </c>
      <c r="F111" s="2" t="str">
        <f aca="false">IF(LEFT(D111,8)="Dùng khi","Có","Không")</f>
        <v>Có</v>
      </c>
    </row>
    <row r="112" customFormat="false" ht="57.45" hidden="false" customHeight="false" outlineLevel="0" collapsed="false">
      <c r="A112" s="2" t="s">
        <v>336</v>
      </c>
      <c r="B112" s="2" t="s">
        <v>337</v>
      </c>
      <c r="C112" s="2" t="n">
        <f aca="false">LEN(B112)</f>
        <v>327</v>
      </c>
      <c r="D112" s="2" t="s">
        <v>338</v>
      </c>
      <c r="E112" s="2" t="n">
        <f aca="false">LEN(D112)</f>
        <v>165</v>
      </c>
      <c r="F112" s="2" t="str">
        <f aca="false">IF(LEFT(D112,8)="Dùng khi","Có","Không")</f>
        <v>Có</v>
      </c>
    </row>
    <row r="113" customFormat="false" ht="68.65" hidden="false" customHeight="false" outlineLevel="0" collapsed="false">
      <c r="A113" s="2" t="s">
        <v>339</v>
      </c>
      <c r="B113" s="2" t="s">
        <v>340</v>
      </c>
      <c r="C113" s="2" t="n">
        <f aca="false">LEN(B113)</f>
        <v>368</v>
      </c>
      <c r="D113" s="2" t="s">
        <v>341</v>
      </c>
      <c r="E113" s="2" t="n">
        <f aca="false">LEN(D113)</f>
        <v>153</v>
      </c>
      <c r="F113" s="2" t="str">
        <f aca="false">IF(LEFT(D113,8)="Dùng khi","Có","Không")</f>
        <v>Có</v>
      </c>
    </row>
    <row r="114" customFormat="false" ht="57.45" hidden="false" customHeight="false" outlineLevel="0" collapsed="false">
      <c r="A114" s="2" t="s">
        <v>342</v>
      </c>
      <c r="B114" s="2" t="s">
        <v>343</v>
      </c>
      <c r="C114" s="2" t="n">
        <f aca="false">LEN(B114)</f>
        <v>334</v>
      </c>
      <c r="D114" s="2" t="s">
        <v>344</v>
      </c>
      <c r="E114" s="2" t="n">
        <f aca="false">LEN(D114)</f>
        <v>168</v>
      </c>
      <c r="F114" s="2" t="str">
        <f aca="false">IF(LEFT(D114,8)="Dùng khi","Có","Không")</f>
        <v>Có</v>
      </c>
    </row>
    <row r="115" customFormat="false" ht="68.65" hidden="false" customHeight="false" outlineLevel="0" collapsed="false">
      <c r="A115" s="2" t="s">
        <v>345</v>
      </c>
      <c r="B115" s="2" t="s">
        <v>346</v>
      </c>
      <c r="C115" s="2" t="n">
        <f aca="false">LEN(B115)</f>
        <v>387</v>
      </c>
      <c r="D115" s="2" t="s">
        <v>347</v>
      </c>
      <c r="E115" s="2" t="n">
        <f aca="false">LEN(D115)</f>
        <v>161</v>
      </c>
      <c r="F115" s="2" t="str">
        <f aca="false">IF(LEFT(D115,8)="Dùng khi","Có","Không")</f>
        <v>Có</v>
      </c>
    </row>
    <row r="116" customFormat="false" ht="68.65" hidden="false" customHeight="false" outlineLevel="0" collapsed="false">
      <c r="A116" s="2" t="s">
        <v>348</v>
      </c>
      <c r="B116" s="2" t="s">
        <v>349</v>
      </c>
      <c r="C116" s="2" t="n">
        <f aca="false">LEN(B116)</f>
        <v>382</v>
      </c>
      <c r="D116" s="2" t="s">
        <v>350</v>
      </c>
      <c r="E116" s="2" t="n">
        <f aca="false">LEN(D116)</f>
        <v>165</v>
      </c>
      <c r="F116" s="2" t="str">
        <f aca="false">IF(LEFT(D116,8)="Dùng khi","Có","Không")</f>
        <v>Có</v>
      </c>
    </row>
    <row r="117" customFormat="false" ht="68.65" hidden="false" customHeight="false" outlineLevel="0" collapsed="false">
      <c r="A117" s="2" t="s">
        <v>351</v>
      </c>
      <c r="B117" s="2" t="s">
        <v>352</v>
      </c>
      <c r="C117" s="2" t="n">
        <f aca="false">LEN(B117)</f>
        <v>388</v>
      </c>
      <c r="D117" s="2" t="s">
        <v>353</v>
      </c>
      <c r="E117" s="2" t="n">
        <f aca="false">LEN(D117)</f>
        <v>176</v>
      </c>
      <c r="F117" s="2" t="str">
        <f aca="false">IF(LEFT(D117,8)="Dùng khi","Có","Không")</f>
        <v>Có</v>
      </c>
    </row>
    <row r="118" customFormat="false" ht="68.65" hidden="false" customHeight="false" outlineLevel="0" collapsed="false">
      <c r="A118" s="2" t="s">
        <v>354</v>
      </c>
      <c r="B118" s="2" t="s">
        <v>355</v>
      </c>
      <c r="C118" s="2" t="n">
        <f aca="false">LEN(B118)</f>
        <v>347</v>
      </c>
      <c r="D118" s="2" t="s">
        <v>356</v>
      </c>
      <c r="E118" s="2" t="n">
        <f aca="false">LEN(D118)</f>
        <v>183</v>
      </c>
      <c r="F118" s="2" t="str">
        <f aca="false">IF(LEFT(D118,8)="Dùng khi","Có","Không")</f>
        <v>Có</v>
      </c>
    </row>
    <row r="119" customFormat="false" ht="57.45" hidden="false" customHeight="false" outlineLevel="0" collapsed="false">
      <c r="A119" s="2" t="s">
        <v>357</v>
      </c>
      <c r="B119" s="2" t="s">
        <v>358</v>
      </c>
      <c r="C119" s="2" t="n">
        <f aca="false">LEN(B119)</f>
        <v>340</v>
      </c>
      <c r="D119" s="2" t="s">
        <v>359</v>
      </c>
      <c r="E119" s="2" t="n">
        <f aca="false">LEN(D119)</f>
        <v>178</v>
      </c>
      <c r="F119" s="2" t="str">
        <f aca="false">IF(LEFT(D119,8)="Dùng khi","Có","Không")</f>
        <v>Có</v>
      </c>
    </row>
    <row r="120" customFormat="false" ht="68.65" hidden="false" customHeight="false" outlineLevel="0" collapsed="false">
      <c r="A120" s="2" t="s">
        <v>360</v>
      </c>
      <c r="B120" s="2" t="s">
        <v>361</v>
      </c>
      <c r="C120" s="2" t="n">
        <f aca="false">LEN(B120)</f>
        <v>362</v>
      </c>
      <c r="D120" s="2" t="s">
        <v>362</v>
      </c>
      <c r="E120" s="2" t="n">
        <f aca="false">LEN(D120)</f>
        <v>174</v>
      </c>
      <c r="F120" s="2" t="str">
        <f aca="false">IF(LEFT(D120,8)="Dùng khi","Có","Không")</f>
        <v>Có</v>
      </c>
    </row>
    <row r="121" customFormat="false" ht="68.65" hidden="false" customHeight="false" outlineLevel="0" collapsed="false">
      <c r="A121" s="2" t="s">
        <v>363</v>
      </c>
      <c r="B121" s="2" t="s">
        <v>364</v>
      </c>
      <c r="C121" s="2" t="n">
        <f aca="false">LEN(B121)</f>
        <v>399</v>
      </c>
      <c r="D121" s="2" t="s">
        <v>365</v>
      </c>
      <c r="E121" s="2" t="n">
        <f aca="false">LEN(D121)</f>
        <v>172</v>
      </c>
      <c r="F121" s="2" t="str">
        <f aca="false">IF(LEFT(D121,8)="Dùng khi","Có","Không")</f>
        <v>Không</v>
      </c>
    </row>
    <row r="122" customFormat="false" ht="57.45" hidden="false" customHeight="false" outlineLevel="0" collapsed="false">
      <c r="A122" s="2" t="s">
        <v>366</v>
      </c>
      <c r="B122" s="2" t="s">
        <v>367</v>
      </c>
      <c r="C122" s="2" t="n">
        <f aca="false">LEN(B122)</f>
        <v>289</v>
      </c>
      <c r="D122" s="2" t="s">
        <v>368</v>
      </c>
      <c r="E122" s="2" t="n">
        <f aca="false">LEN(D122)</f>
        <v>182</v>
      </c>
      <c r="F122" s="2" t="str">
        <f aca="false">IF(LEFT(D122,8)="Dùng khi","Có","Không")</f>
        <v>Có</v>
      </c>
    </row>
    <row r="123" customFormat="false" ht="68.65" hidden="false" customHeight="false" outlineLevel="0" collapsed="false">
      <c r="A123" s="2" t="s">
        <v>369</v>
      </c>
      <c r="B123" s="2" t="s">
        <v>370</v>
      </c>
      <c r="C123" s="2" t="n">
        <f aca="false">LEN(B123)</f>
        <v>385</v>
      </c>
      <c r="D123" s="2" t="s">
        <v>371</v>
      </c>
      <c r="E123" s="2" t="n">
        <f aca="false">LEN(D123)</f>
        <v>155</v>
      </c>
      <c r="F123" s="2" t="str">
        <f aca="false">IF(LEFT(D123,8)="Dùng khi","Có","Không")</f>
        <v>Có</v>
      </c>
    </row>
    <row r="124" customFormat="false" ht="68.65" hidden="false" customHeight="false" outlineLevel="0" collapsed="false">
      <c r="A124" s="2" t="s">
        <v>372</v>
      </c>
      <c r="B124" s="2" t="s">
        <v>373</v>
      </c>
      <c r="C124" s="2" t="n">
        <f aca="false">LEN(B124)</f>
        <v>378</v>
      </c>
      <c r="D124" s="2" t="s">
        <v>374</v>
      </c>
      <c r="E124" s="2" t="n">
        <f aca="false">LEN(D124)</f>
        <v>168</v>
      </c>
      <c r="F124" s="2" t="str">
        <f aca="false">IF(LEFT(D124,8)="Dùng khi","Có","Không")</f>
        <v>Có</v>
      </c>
    </row>
    <row r="125" customFormat="false" ht="57.45" hidden="false" customHeight="false" outlineLevel="0" collapsed="false">
      <c r="A125" s="2" t="s">
        <v>375</v>
      </c>
      <c r="B125" s="2" t="s">
        <v>376</v>
      </c>
      <c r="C125" s="2" t="n">
        <f aca="false">LEN(B125)</f>
        <v>279</v>
      </c>
      <c r="D125" s="2" t="s">
        <v>377</v>
      </c>
      <c r="E125" s="2" t="n">
        <f aca="false">LEN(D125)</f>
        <v>161</v>
      </c>
      <c r="F125" s="2" t="str">
        <f aca="false">IF(LEFT(D125,8)="Dùng khi","Có","Không")</f>
        <v>Có</v>
      </c>
    </row>
    <row r="126" customFormat="false" ht="68.65" hidden="false" customHeight="false" outlineLevel="0" collapsed="false">
      <c r="A126" s="2" t="s">
        <v>378</v>
      </c>
      <c r="B126" s="2" t="s">
        <v>379</v>
      </c>
      <c r="C126" s="2" t="n">
        <f aca="false">LEN(B126)</f>
        <v>377</v>
      </c>
      <c r="D126" s="2" t="s">
        <v>380</v>
      </c>
      <c r="E126" s="2" t="n">
        <f aca="false">LEN(D126)</f>
        <v>197</v>
      </c>
      <c r="F126" s="2" t="str">
        <f aca="false">IF(LEFT(D126,8)="Dùng khi","Có","Không")</f>
        <v>Có</v>
      </c>
    </row>
    <row r="127" customFormat="false" ht="57.45" hidden="false" customHeight="false" outlineLevel="0" collapsed="false">
      <c r="A127" s="2" t="s">
        <v>381</v>
      </c>
      <c r="B127" s="2" t="s">
        <v>382</v>
      </c>
      <c r="C127" s="2" t="n">
        <f aca="false">LEN(B127)</f>
        <v>302</v>
      </c>
      <c r="D127" s="2" t="s">
        <v>383</v>
      </c>
      <c r="E127" s="2" t="n">
        <f aca="false">LEN(D127)</f>
        <v>148</v>
      </c>
      <c r="F127" s="2" t="str">
        <f aca="false">IF(LEFT(D127,8)="Dùng khi","Có","Không")</f>
        <v>Có</v>
      </c>
    </row>
    <row r="128" customFormat="false" ht="46.25" hidden="false" customHeight="false" outlineLevel="0" collapsed="false">
      <c r="A128" s="2" t="s">
        <v>384</v>
      </c>
      <c r="B128" s="2" t="s">
        <v>385</v>
      </c>
      <c r="C128" s="2" t="n">
        <f aca="false">LEN(B128)</f>
        <v>276</v>
      </c>
      <c r="D128" s="2" t="s">
        <v>386</v>
      </c>
      <c r="E128" s="2" t="n">
        <f aca="false">LEN(D128)</f>
        <v>148</v>
      </c>
      <c r="F128" s="2" t="str">
        <f aca="false">IF(LEFT(D128,8)="Dùng khi","Có","Không")</f>
        <v>Có</v>
      </c>
    </row>
    <row r="129" customFormat="false" ht="57.45" hidden="false" customHeight="false" outlineLevel="0" collapsed="false">
      <c r="A129" s="2" t="s">
        <v>387</v>
      </c>
      <c r="B129" s="2" t="s">
        <v>388</v>
      </c>
      <c r="C129" s="2" t="n">
        <f aca="false">LEN(B129)</f>
        <v>335</v>
      </c>
      <c r="D129" s="2" t="s">
        <v>389</v>
      </c>
      <c r="E129" s="2" t="n">
        <f aca="false">LEN(D129)</f>
        <v>181</v>
      </c>
      <c r="F129" s="2" t="str">
        <f aca="false">IF(LEFT(D129,8)="Dùng khi","Có","Không")</f>
        <v>Không</v>
      </c>
    </row>
    <row r="130" customFormat="false" ht="57.45" hidden="false" customHeight="false" outlineLevel="0" collapsed="false">
      <c r="A130" s="2" t="s">
        <v>390</v>
      </c>
      <c r="B130" s="2" t="s">
        <v>391</v>
      </c>
      <c r="C130" s="2" t="n">
        <f aca="false">LEN(B130)</f>
        <v>322</v>
      </c>
      <c r="D130" s="2" t="s">
        <v>392</v>
      </c>
      <c r="E130" s="2" t="n">
        <f aca="false">LEN(D130)</f>
        <v>158</v>
      </c>
      <c r="F130" s="2" t="str">
        <f aca="false">IF(LEFT(D130,8)="Dùng khi","Có","Không")</f>
        <v>Có</v>
      </c>
    </row>
    <row r="131" customFormat="false" ht="57.45" hidden="false" customHeight="false" outlineLevel="0" collapsed="false">
      <c r="A131" s="2" t="s">
        <v>393</v>
      </c>
      <c r="B131" s="2" t="s">
        <v>394</v>
      </c>
      <c r="C131" s="2" t="n">
        <f aca="false">LEN(B131)</f>
        <v>334</v>
      </c>
      <c r="D131" s="2" t="s">
        <v>395</v>
      </c>
      <c r="E131" s="2" t="n">
        <f aca="false">LEN(D131)</f>
        <v>170</v>
      </c>
      <c r="F131" s="2" t="str">
        <f aca="false">IF(LEFT(D131,8)="Dùng khi","Có","Không")</f>
        <v>Có</v>
      </c>
    </row>
    <row r="132" customFormat="false" ht="46.25" hidden="false" customHeight="false" outlineLevel="0" collapsed="false">
      <c r="A132" s="2" t="s">
        <v>396</v>
      </c>
      <c r="B132" s="2" t="s">
        <v>397</v>
      </c>
      <c r="C132" s="2" t="n">
        <f aca="false">LEN(B132)</f>
        <v>261</v>
      </c>
      <c r="D132" s="2" t="s">
        <v>398</v>
      </c>
      <c r="E132" s="2" t="n">
        <f aca="false">LEN(D132)</f>
        <v>161</v>
      </c>
      <c r="F132" s="2" t="str">
        <f aca="false">IF(LEFT(D132,8)="Dùng khi","Có","Không")</f>
        <v>Có</v>
      </c>
    </row>
    <row r="133" customFormat="false" ht="68.65" hidden="false" customHeight="false" outlineLevel="0" collapsed="false">
      <c r="A133" s="2" t="s">
        <v>399</v>
      </c>
      <c r="B133" s="2" t="s">
        <v>400</v>
      </c>
      <c r="C133" s="2" t="n">
        <f aca="false">LEN(B133)</f>
        <v>378</v>
      </c>
      <c r="D133" s="2" t="s">
        <v>401</v>
      </c>
      <c r="E133" s="2" t="n">
        <f aca="false">LEN(D133)</f>
        <v>177</v>
      </c>
      <c r="F133" s="2" t="str">
        <f aca="false">IF(LEFT(D133,8)="Dùng khi","Có","Không")</f>
        <v>Có</v>
      </c>
    </row>
    <row r="134" customFormat="false" ht="57.45" hidden="false" customHeight="false" outlineLevel="0" collapsed="false">
      <c r="A134" s="2" t="s">
        <v>402</v>
      </c>
      <c r="B134" s="2" t="s">
        <v>403</v>
      </c>
      <c r="C134" s="2" t="n">
        <f aca="false">LEN(B134)</f>
        <v>340</v>
      </c>
      <c r="D134" s="2" t="s">
        <v>404</v>
      </c>
      <c r="E134" s="2" t="n">
        <f aca="false">LEN(D134)</f>
        <v>202</v>
      </c>
      <c r="F134" s="2" t="str">
        <f aca="false">IF(LEFT(D134,8)="Dùng khi","Có","Không")</f>
        <v>Không</v>
      </c>
    </row>
    <row r="135" customFormat="false" ht="46.25" hidden="false" customHeight="false" outlineLevel="0" collapsed="false">
      <c r="A135" s="2" t="s">
        <v>405</v>
      </c>
      <c r="B135" s="2" t="s">
        <v>406</v>
      </c>
      <c r="C135" s="2" t="n">
        <f aca="false">LEN(B135)</f>
        <v>208</v>
      </c>
      <c r="D135" s="2" t="s">
        <v>407</v>
      </c>
      <c r="E135" s="2" t="n">
        <f aca="false">LEN(D135)</f>
        <v>168</v>
      </c>
      <c r="F135" s="2" t="str">
        <f aca="false">IF(LEFT(D135,8)="Dùng khi","Có","Không")</f>
        <v>Có</v>
      </c>
    </row>
    <row r="136" customFormat="false" ht="68.65" hidden="false" customHeight="false" outlineLevel="0" collapsed="false">
      <c r="A136" s="2" t="s">
        <v>408</v>
      </c>
      <c r="B136" s="2" t="s">
        <v>409</v>
      </c>
      <c r="C136" s="2" t="n">
        <f aca="false">LEN(B136)</f>
        <v>354</v>
      </c>
      <c r="D136" s="2" t="s">
        <v>410</v>
      </c>
      <c r="E136" s="2" t="n">
        <f aca="false">LEN(D136)</f>
        <v>163</v>
      </c>
      <c r="F136" s="2" t="str">
        <f aca="false">IF(LEFT(D136,8)="Dùng khi","Có","Không")</f>
        <v>Không</v>
      </c>
    </row>
    <row r="137" customFormat="false" ht="57.45" hidden="false" customHeight="false" outlineLevel="0" collapsed="false">
      <c r="A137" s="2" t="s">
        <v>411</v>
      </c>
      <c r="B137" s="2" t="s">
        <v>412</v>
      </c>
      <c r="C137" s="2" t="n">
        <f aca="false">LEN(B137)</f>
        <v>352</v>
      </c>
      <c r="D137" s="2" t="s">
        <v>413</v>
      </c>
      <c r="E137" s="2" t="n">
        <f aca="false">LEN(D137)</f>
        <v>223</v>
      </c>
      <c r="F137" s="2" t="str">
        <f aca="false">IF(LEFT(D137,8)="Dùng khi","Có","Không")</f>
        <v>Có</v>
      </c>
    </row>
    <row r="138" customFormat="false" ht="68.65" hidden="false" customHeight="false" outlineLevel="0" collapsed="false">
      <c r="A138" s="2" t="s">
        <v>414</v>
      </c>
      <c r="B138" s="2" t="s">
        <v>415</v>
      </c>
      <c r="C138" s="2" t="n">
        <f aca="false">LEN(B138)</f>
        <v>352</v>
      </c>
      <c r="D138" s="2" t="s">
        <v>416</v>
      </c>
      <c r="E138" s="2" t="n">
        <f aca="false">LEN(D138)</f>
        <v>212</v>
      </c>
      <c r="F138" s="2" t="str">
        <f aca="false">IF(LEFT(D138,8)="Dùng khi","Có","Không")</f>
        <v>Không</v>
      </c>
    </row>
    <row r="139" customFormat="false" ht="68.65" hidden="false" customHeight="false" outlineLevel="0" collapsed="false">
      <c r="A139" s="2" t="s">
        <v>417</v>
      </c>
      <c r="B139" s="2" t="s">
        <v>418</v>
      </c>
      <c r="C139" s="2" t="n">
        <f aca="false">LEN(B139)</f>
        <v>386</v>
      </c>
      <c r="D139" s="2" t="s">
        <v>419</v>
      </c>
      <c r="E139" s="2" t="n">
        <f aca="false">LEN(D139)</f>
        <v>182</v>
      </c>
      <c r="F139" s="2" t="str">
        <f aca="false">IF(LEFT(D139,8)="Dùng khi","Có","Không")</f>
        <v>Có</v>
      </c>
    </row>
    <row r="140" customFormat="false" ht="68.65" hidden="false" customHeight="false" outlineLevel="0" collapsed="false">
      <c r="A140" s="2" t="s">
        <v>420</v>
      </c>
      <c r="B140" s="2" t="s">
        <v>421</v>
      </c>
      <c r="C140" s="2" t="n">
        <f aca="false">LEN(B140)</f>
        <v>366</v>
      </c>
      <c r="D140" s="2" t="s">
        <v>422</v>
      </c>
      <c r="E140" s="2" t="n">
        <f aca="false">LEN(D140)</f>
        <v>186</v>
      </c>
      <c r="F140" s="2" t="str">
        <f aca="false">IF(LEFT(D140,8)="Dùng khi","Có","Không")</f>
        <v>Không</v>
      </c>
    </row>
    <row r="141" customFormat="false" ht="46.25" hidden="false" customHeight="false" outlineLevel="0" collapsed="false">
      <c r="A141" s="2" t="s">
        <v>423</v>
      </c>
      <c r="B141" s="2" t="s">
        <v>424</v>
      </c>
      <c r="C141" s="2" t="n">
        <f aca="false">LEN(B141)</f>
        <v>253</v>
      </c>
      <c r="D141" s="2" t="s">
        <v>425</v>
      </c>
      <c r="E141" s="2" t="n">
        <f aca="false">LEN(D141)</f>
        <v>210</v>
      </c>
      <c r="F141" s="2" t="str">
        <f aca="false">IF(LEFT(D141,8)="Dùng khi","Có","Không")</f>
        <v>Có</v>
      </c>
    </row>
    <row r="142" customFormat="false" ht="68.65" hidden="false" customHeight="false" outlineLevel="0" collapsed="false">
      <c r="A142" s="2" t="s">
        <v>426</v>
      </c>
      <c r="B142" s="2" t="s">
        <v>427</v>
      </c>
      <c r="C142" s="2" t="n">
        <f aca="false">LEN(B142)</f>
        <v>363</v>
      </c>
      <c r="D142" s="2" t="s">
        <v>428</v>
      </c>
      <c r="E142" s="2" t="n">
        <f aca="false">LEN(D142)</f>
        <v>201</v>
      </c>
      <c r="F142" s="2" t="str">
        <f aca="false">IF(LEFT(D142,8)="Dùng khi","Có","Không")</f>
        <v>Có</v>
      </c>
    </row>
    <row r="143" customFormat="false" ht="57.45" hidden="false" customHeight="false" outlineLevel="0" collapsed="false">
      <c r="A143" s="2" t="s">
        <v>429</v>
      </c>
      <c r="B143" s="2" t="s">
        <v>430</v>
      </c>
      <c r="C143" s="2" t="n">
        <f aca="false">LEN(B143)</f>
        <v>278</v>
      </c>
      <c r="D143" s="2" t="s">
        <v>431</v>
      </c>
      <c r="E143" s="2" t="n">
        <f aca="false">LEN(D143)</f>
        <v>164</v>
      </c>
      <c r="F143" s="2" t="str">
        <f aca="false">IF(LEFT(D143,8)="Dùng khi","Có","Không")</f>
        <v>Không</v>
      </c>
    </row>
    <row r="144" customFormat="false" ht="57.45" hidden="false" customHeight="false" outlineLevel="0" collapsed="false">
      <c r="A144" s="2" t="s">
        <v>432</v>
      </c>
      <c r="B144" s="2" t="s">
        <v>433</v>
      </c>
      <c r="C144" s="2" t="n">
        <f aca="false">LEN(B144)</f>
        <v>301</v>
      </c>
      <c r="D144" s="2" t="s">
        <v>434</v>
      </c>
      <c r="E144" s="2" t="n">
        <f aca="false">LEN(D144)</f>
        <v>211</v>
      </c>
      <c r="F144" s="2" t="str">
        <f aca="false">IF(LEFT(D144,8)="Dùng khi","Có","Không")</f>
        <v>Có</v>
      </c>
    </row>
    <row r="145" customFormat="false" ht="57.45" hidden="false" customHeight="false" outlineLevel="0" collapsed="false">
      <c r="A145" s="2" t="s">
        <v>435</v>
      </c>
      <c r="B145" s="2" t="s">
        <v>436</v>
      </c>
      <c r="C145" s="2" t="n">
        <f aca="false">LEN(B145)</f>
        <v>334</v>
      </c>
      <c r="D145" s="2" t="s">
        <v>437</v>
      </c>
      <c r="E145" s="2" t="n">
        <f aca="false">LEN(D145)</f>
        <v>219</v>
      </c>
      <c r="F145" s="2" t="str">
        <f aca="false">IF(LEFT(D145,8)="Dùng khi","Có","Không")</f>
        <v>Có</v>
      </c>
    </row>
    <row r="146" customFormat="false" ht="46.25" hidden="false" customHeight="false" outlineLevel="0" collapsed="false">
      <c r="A146" s="2" t="s">
        <v>438</v>
      </c>
      <c r="B146" s="2" t="s">
        <v>439</v>
      </c>
      <c r="C146" s="2" t="n">
        <f aca="false">LEN(B146)</f>
        <v>266</v>
      </c>
      <c r="D146" s="2" t="s">
        <v>440</v>
      </c>
      <c r="E146" s="2" t="n">
        <f aca="false">LEN(D146)</f>
        <v>196</v>
      </c>
      <c r="F146" s="2" t="str">
        <f aca="false">IF(LEFT(D146,8)="Dùng khi","Có","Không")</f>
        <v>Có</v>
      </c>
    </row>
    <row r="147" customFormat="false" ht="57.45" hidden="false" customHeight="false" outlineLevel="0" collapsed="false">
      <c r="A147" s="2" t="s">
        <v>441</v>
      </c>
      <c r="B147" s="2" t="s">
        <v>442</v>
      </c>
      <c r="C147" s="2" t="n">
        <f aca="false">LEN(B147)</f>
        <v>286</v>
      </c>
      <c r="D147" s="2" t="s">
        <v>443</v>
      </c>
      <c r="E147" s="2" t="n">
        <f aca="false">LEN(D147)</f>
        <v>183</v>
      </c>
      <c r="F147" s="2" t="str">
        <f aca="false">IF(LEFT(D147,8)="Dùng khi","Có","Không")</f>
        <v>Có</v>
      </c>
    </row>
    <row r="148" customFormat="false" ht="46.25" hidden="false" customHeight="false" outlineLevel="0" collapsed="false">
      <c r="A148" s="2" t="s">
        <v>444</v>
      </c>
      <c r="B148" s="2" t="s">
        <v>445</v>
      </c>
      <c r="C148" s="2" t="n">
        <f aca="false">LEN(B148)</f>
        <v>219</v>
      </c>
      <c r="D148" s="2" t="s">
        <v>446</v>
      </c>
      <c r="E148" s="2" t="n">
        <f aca="false">LEN(D148)</f>
        <v>200</v>
      </c>
      <c r="F148" s="2" t="str">
        <f aca="false">IF(LEFT(D148,8)="Dùng khi","Có","Không")</f>
        <v>Có</v>
      </c>
    </row>
    <row r="149" customFormat="false" ht="46.25" hidden="false" customHeight="false" outlineLevel="0" collapsed="false">
      <c r="A149" s="2" t="s">
        <v>447</v>
      </c>
      <c r="B149" s="2" t="s">
        <v>448</v>
      </c>
      <c r="C149" s="2" t="n">
        <f aca="false">LEN(B149)</f>
        <v>219</v>
      </c>
      <c r="D149" s="2" t="s">
        <v>449</v>
      </c>
      <c r="E149" s="2" t="n">
        <f aca="false">LEN(D149)</f>
        <v>187</v>
      </c>
      <c r="F149" s="2" t="str">
        <f aca="false">IF(LEFT(D149,8)="Dùng khi","Có","Không")</f>
        <v>Có</v>
      </c>
    </row>
    <row r="150" customFormat="false" ht="57.45" hidden="false" customHeight="false" outlineLevel="0" collapsed="false">
      <c r="A150" s="2" t="s">
        <v>450</v>
      </c>
      <c r="B150" s="2" t="s">
        <v>451</v>
      </c>
      <c r="C150" s="2" t="n">
        <f aca="false">LEN(B150)</f>
        <v>298</v>
      </c>
      <c r="D150" s="2" t="s">
        <v>452</v>
      </c>
      <c r="E150" s="2" t="n">
        <f aca="false">LEN(D150)</f>
        <v>210</v>
      </c>
      <c r="F150" s="2" t="str">
        <f aca="false">IF(LEFT(D150,8)="Dùng khi","Có","Không")</f>
        <v>Có</v>
      </c>
    </row>
    <row r="151" customFormat="false" ht="46.25" hidden="false" customHeight="false" outlineLevel="0" collapsed="false">
      <c r="A151" s="2" t="s">
        <v>453</v>
      </c>
      <c r="B151" s="2" t="s">
        <v>454</v>
      </c>
      <c r="C151" s="2" t="n">
        <f aca="false">LEN(B151)</f>
        <v>230</v>
      </c>
      <c r="D151" s="2" t="s">
        <v>455</v>
      </c>
      <c r="E151" s="2" t="n">
        <f aca="false">LEN(D151)</f>
        <v>201</v>
      </c>
      <c r="F151" s="2" t="str">
        <f aca="false">IF(LEFT(D151,8)="Dùng khi","Có","Không")</f>
        <v>Có</v>
      </c>
    </row>
    <row r="152" customFormat="false" ht="57.45" hidden="false" customHeight="false" outlineLevel="0" collapsed="false">
      <c r="A152" s="2" t="s">
        <v>456</v>
      </c>
      <c r="B152" s="2" t="s">
        <v>457</v>
      </c>
      <c r="C152" s="2" t="n">
        <f aca="false">LEN(B152)</f>
        <v>305</v>
      </c>
      <c r="D152" s="2" t="s">
        <v>458</v>
      </c>
      <c r="E152" s="2" t="n">
        <f aca="false">LEN(D152)</f>
        <v>159</v>
      </c>
      <c r="F152" s="2" t="str">
        <f aca="false">IF(LEFT(D152,8)="Dùng khi","Có","Không")</f>
        <v>Có</v>
      </c>
    </row>
    <row r="153" customFormat="false" ht="46.25" hidden="false" customHeight="false" outlineLevel="0" collapsed="false">
      <c r="A153" s="2" t="s">
        <v>459</v>
      </c>
      <c r="B153" s="2" t="s">
        <v>460</v>
      </c>
      <c r="C153" s="2" t="n">
        <f aca="false">LEN(B153)</f>
        <v>236</v>
      </c>
      <c r="D153" s="2" t="s">
        <v>461</v>
      </c>
      <c r="E153" s="2" t="n">
        <f aca="false">LEN(D153)</f>
        <v>149</v>
      </c>
      <c r="F153" s="2" t="str">
        <f aca="false">IF(LEFT(D153,8)="Dùng khi","Có","Không")</f>
        <v>Có</v>
      </c>
    </row>
    <row r="154" customFormat="false" ht="57.45" hidden="false" customHeight="false" outlineLevel="0" collapsed="false">
      <c r="A154" s="2" t="s">
        <v>462</v>
      </c>
      <c r="B154" s="2" t="s">
        <v>463</v>
      </c>
      <c r="C154" s="2" t="n">
        <f aca="false">LEN(B154)</f>
        <v>303</v>
      </c>
      <c r="D154" s="2" t="s">
        <v>464</v>
      </c>
      <c r="E154" s="2" t="n">
        <f aca="false">LEN(D154)</f>
        <v>175</v>
      </c>
      <c r="F154" s="2" t="str">
        <f aca="false">IF(LEFT(D154,8)="Dùng khi","Có","Không")</f>
        <v>Không</v>
      </c>
    </row>
    <row r="155" customFormat="false" ht="57.45" hidden="false" customHeight="false" outlineLevel="0" collapsed="false">
      <c r="A155" s="2" t="s">
        <v>465</v>
      </c>
      <c r="B155" s="2" t="s">
        <v>466</v>
      </c>
      <c r="C155" s="2" t="n">
        <f aca="false">LEN(B155)</f>
        <v>356</v>
      </c>
      <c r="D155" s="2" t="s">
        <v>467</v>
      </c>
      <c r="E155" s="2" t="n">
        <f aca="false">LEN(D155)</f>
        <v>215</v>
      </c>
      <c r="F155" s="2" t="str">
        <f aca="false">IF(LEFT(D155,8)="Dùng khi","Có","Không")</f>
        <v>Có</v>
      </c>
    </row>
    <row r="156" customFormat="false" ht="57.45" hidden="false" customHeight="false" outlineLevel="0" collapsed="false">
      <c r="A156" s="2" t="s">
        <v>468</v>
      </c>
      <c r="B156" s="2" t="s">
        <v>469</v>
      </c>
      <c r="C156" s="2" t="n">
        <f aca="false">LEN(B156)</f>
        <v>322</v>
      </c>
      <c r="D156" s="2" t="s">
        <v>470</v>
      </c>
      <c r="E156" s="2" t="n">
        <f aca="false">LEN(D156)</f>
        <v>186</v>
      </c>
      <c r="F156" s="2" t="str">
        <f aca="false">IF(LEFT(D156,8)="Dùng khi","Có","Không")</f>
        <v>Không</v>
      </c>
    </row>
    <row r="157" customFormat="false" ht="46.25" hidden="false" customHeight="false" outlineLevel="0" collapsed="false">
      <c r="A157" s="2" t="s">
        <v>471</v>
      </c>
      <c r="B157" s="2" t="s">
        <v>472</v>
      </c>
      <c r="C157" s="2" t="n">
        <f aca="false">LEN(B157)</f>
        <v>267</v>
      </c>
      <c r="D157" s="2" t="s">
        <v>473</v>
      </c>
      <c r="E157" s="2" t="n">
        <f aca="false">LEN(D157)</f>
        <v>140</v>
      </c>
      <c r="F157" s="2" t="str">
        <f aca="false">IF(LEFT(D157,8)="Dùng khi","Có","Không")</f>
        <v>Không</v>
      </c>
    </row>
    <row r="158" customFormat="false" ht="46.25" hidden="false" customHeight="false" outlineLevel="0" collapsed="false">
      <c r="A158" s="2" t="s">
        <v>474</v>
      </c>
      <c r="B158" s="2" t="s">
        <v>475</v>
      </c>
      <c r="C158" s="2" t="n">
        <f aca="false">LEN(B158)</f>
        <v>256</v>
      </c>
      <c r="D158" s="2" t="s">
        <v>476</v>
      </c>
      <c r="E158" s="2" t="n">
        <f aca="false">LEN(D158)</f>
        <v>204</v>
      </c>
      <c r="F158" s="2" t="str">
        <f aca="false">IF(LEFT(D158,8)="Dùng khi","Có","Không")</f>
        <v>Có</v>
      </c>
    </row>
    <row r="159" customFormat="false" ht="46.25" hidden="false" customHeight="false" outlineLevel="0" collapsed="false">
      <c r="A159" s="2" t="s">
        <v>477</v>
      </c>
      <c r="B159" s="2" t="s">
        <v>478</v>
      </c>
      <c r="C159" s="2" t="n">
        <f aca="false">LEN(B159)</f>
        <v>277</v>
      </c>
      <c r="D159" s="2" t="s">
        <v>479</v>
      </c>
      <c r="E159" s="2" t="n">
        <f aca="false">LEN(D159)</f>
        <v>169</v>
      </c>
      <c r="F159" s="2" t="str">
        <f aca="false">IF(LEFT(D159,8)="Dùng khi","Có","Không")</f>
        <v>Có</v>
      </c>
    </row>
    <row r="160" customFormat="false" ht="57.45" hidden="false" customHeight="false" outlineLevel="0" collapsed="false">
      <c r="A160" s="2" t="s">
        <v>480</v>
      </c>
      <c r="B160" s="2" t="s">
        <v>481</v>
      </c>
      <c r="C160" s="2" t="n">
        <f aca="false">LEN(B160)</f>
        <v>353</v>
      </c>
      <c r="D160" s="2" t="s">
        <v>482</v>
      </c>
      <c r="E160" s="2" t="n">
        <f aca="false">LEN(D160)</f>
        <v>210</v>
      </c>
      <c r="F160" s="2" t="str">
        <f aca="false">IF(LEFT(D160,8)="Dùng khi","Có","Không")</f>
        <v>Không</v>
      </c>
    </row>
    <row r="161" customFormat="false" ht="35.05" hidden="false" customHeight="false" outlineLevel="0" collapsed="false">
      <c r="A161" s="2" t="s">
        <v>483</v>
      </c>
      <c r="B161" s="2" t="s">
        <v>484</v>
      </c>
      <c r="C161" s="2" t="n">
        <f aca="false">LEN(B161)</f>
        <v>189</v>
      </c>
      <c r="D161" s="2" t="s">
        <v>485</v>
      </c>
      <c r="E161" s="2" t="n">
        <f aca="false">LEN(D161)</f>
        <v>159</v>
      </c>
      <c r="F161" s="2" t="str">
        <f aca="false">IF(LEFT(D161,8)="Dùng khi","Có","Không")</f>
        <v>Không</v>
      </c>
    </row>
    <row r="162" customFormat="false" ht="46.25" hidden="false" customHeight="false" outlineLevel="0" collapsed="false">
      <c r="A162" s="2" t="s">
        <v>486</v>
      </c>
      <c r="B162" s="2" t="s">
        <v>487</v>
      </c>
      <c r="C162" s="2" t="n">
        <f aca="false">LEN(B162)</f>
        <v>264</v>
      </c>
      <c r="D162" s="2" t="s">
        <v>488</v>
      </c>
      <c r="E162" s="2" t="n">
        <f aca="false">LEN(D162)</f>
        <v>182</v>
      </c>
      <c r="F162" s="2" t="str">
        <f aca="false">IF(LEFT(D162,8)="Dùng khi","Có","Không")</f>
        <v>Có</v>
      </c>
    </row>
    <row r="163" customFormat="false" ht="46.25" hidden="false" customHeight="false" outlineLevel="0" collapsed="false">
      <c r="A163" s="2" t="s">
        <v>489</v>
      </c>
      <c r="B163" s="2" t="s">
        <v>490</v>
      </c>
      <c r="C163" s="2" t="n">
        <f aca="false">LEN(B163)</f>
        <v>218</v>
      </c>
      <c r="D163" s="2" t="s">
        <v>491</v>
      </c>
      <c r="E163" s="2" t="n">
        <f aca="false">LEN(D163)</f>
        <v>181</v>
      </c>
      <c r="F163" s="2" t="str">
        <f aca="false">IF(LEFT(D163,8)="Dùng khi","Có","Không")</f>
        <v>Có</v>
      </c>
    </row>
    <row r="164" customFormat="false" ht="46.25" hidden="false" customHeight="false" outlineLevel="0" collapsed="false">
      <c r="A164" s="2" t="s">
        <v>492</v>
      </c>
      <c r="B164" s="2" t="s">
        <v>493</v>
      </c>
      <c r="C164" s="2" t="n">
        <f aca="false">LEN(B164)</f>
        <v>231</v>
      </c>
      <c r="D164" s="2" t="s">
        <v>494</v>
      </c>
      <c r="E164" s="2" t="n">
        <f aca="false">LEN(D164)</f>
        <v>170</v>
      </c>
      <c r="F164" s="2" t="str">
        <f aca="false">IF(LEFT(D164,8)="Dùng khi","Có","Không")</f>
        <v>Có</v>
      </c>
    </row>
    <row r="165" customFormat="false" ht="68.65" hidden="false" customHeight="false" outlineLevel="0" collapsed="false">
      <c r="A165" s="2" t="s">
        <v>495</v>
      </c>
      <c r="B165" s="2" t="s">
        <v>496</v>
      </c>
      <c r="C165" s="2" t="n">
        <f aca="false">LEN(B165)</f>
        <v>375</v>
      </c>
      <c r="D165" s="2" t="s">
        <v>497</v>
      </c>
      <c r="E165" s="2" t="n">
        <f aca="false">LEN(D165)</f>
        <v>202</v>
      </c>
      <c r="F165" s="2" t="str">
        <f aca="false">IF(LEFT(D165,8)="Dùng khi","Có","Không")</f>
        <v>Có</v>
      </c>
    </row>
    <row r="166" customFormat="false" ht="68.65" hidden="false" customHeight="false" outlineLevel="0" collapsed="false">
      <c r="A166" s="2" t="s">
        <v>498</v>
      </c>
      <c r="B166" s="2" t="s">
        <v>499</v>
      </c>
      <c r="C166" s="2" t="n">
        <f aca="false">LEN(B166)</f>
        <v>383</v>
      </c>
      <c r="D166" s="2" t="s">
        <v>500</v>
      </c>
      <c r="E166" s="2" t="n">
        <f aca="false">LEN(D166)</f>
        <v>181</v>
      </c>
      <c r="F166" s="2" t="str">
        <f aca="false">IF(LEFT(D166,8)="Dùng khi","Có","Không")</f>
        <v>Có</v>
      </c>
    </row>
    <row r="167" customFormat="false" ht="46.25" hidden="false" customHeight="false" outlineLevel="0" collapsed="false">
      <c r="A167" s="2" t="s">
        <v>501</v>
      </c>
      <c r="B167" s="2" t="s">
        <v>502</v>
      </c>
      <c r="C167" s="2" t="n">
        <f aca="false">LEN(B167)</f>
        <v>217</v>
      </c>
      <c r="D167" s="2" t="s">
        <v>503</v>
      </c>
      <c r="E167" s="2" t="n">
        <f aca="false">LEN(D167)</f>
        <v>181</v>
      </c>
      <c r="F167" s="2" t="str">
        <f aca="false">IF(LEFT(D167,8)="Dùng khi","Có","Không")</f>
        <v>Có</v>
      </c>
    </row>
    <row r="168" customFormat="false" ht="57.45" hidden="false" customHeight="false" outlineLevel="0" collapsed="false">
      <c r="A168" s="2" t="s">
        <v>504</v>
      </c>
      <c r="B168" s="2" t="s">
        <v>505</v>
      </c>
      <c r="C168" s="2" t="n">
        <f aca="false">LEN(B168)</f>
        <v>350</v>
      </c>
      <c r="D168" s="2" t="s">
        <v>506</v>
      </c>
      <c r="E168" s="2" t="n">
        <f aca="false">LEN(D168)</f>
        <v>167</v>
      </c>
      <c r="F168" s="2" t="str">
        <f aca="false">IF(LEFT(D168,8)="Dùng khi","Có","Không")</f>
        <v>Có</v>
      </c>
    </row>
    <row r="169" customFormat="false" ht="15" hidden="false" customHeight="false" outlineLevel="0" collapsed="false">
      <c r="A169" s="2"/>
      <c r="B169" s="2"/>
      <c r="C169" s="2"/>
      <c r="D169" s="2"/>
      <c r="E169" s="2"/>
      <c r="F169" s="2"/>
    </row>
    <row r="170" customFormat="false" ht="15" hidden="false" customHeight="false" outlineLevel="0" collapsed="false">
      <c r="A170" s="2" t="s">
        <v>507</v>
      </c>
      <c r="B170" s="2"/>
      <c r="C170" s="2" t="n">
        <f aca="false">AVERAGE(C2:C168)</f>
        <v>310.988023952096</v>
      </c>
      <c r="D170" s="2"/>
      <c r="E170" s="2" t="n">
        <f aca="false">AVERAGE(E2:E168)</f>
        <v>181.191616766467</v>
      </c>
      <c r="F170" s="2" t="n">
        <f aca="false">COUNTIF(F2:F168,"Có")</f>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2026-10-11T09:52:30Z</dcterms:created>
  <dc:creator>openpyxl</dc:creator>
  <dc:description/>
  <dc:language>en-US</dc:language>
  <cp:lastModifiedBy/>
  <dcterms:modified xsi:type="dcterms:W3CDTF">2026-10-11T09:52:30Z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