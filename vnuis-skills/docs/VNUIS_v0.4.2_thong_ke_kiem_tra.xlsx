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nh sách" sheetId="1" state="visible" r:id="rId3"/>
    <sheet name="Theo nhóm" sheetId="2" state="visible" r:id="rId4"/>
    <sheet name="Phát hiện" sheetId="3" state="visible" r:id="rId5"/>
    <sheet name="Cặp giống nhau" sheetId="4" state="visible" r:id="rId6"/>
  </sheets>
  <definedNames>
    <definedName function="false" hidden="true" localSheetId="0" name="_xlnm._FilterDatabase" vbProcedure="false">'Danh sách'!$A$1:$R$168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<sst xmlns="http://schemas.openxmlformats.org/spreadsheetml/2006/main" count="1507" uniqueCount="467">
  <si>
    <t xml:space="preserve">STT</t>
  </si>
  <si>
    <t xml:space="preserve">Mã nhóm</t>
  </si>
  <si>
    <t xml:space="preserve">Tên nhóm</t>
  </si>
  <si>
    <t xml:space="preserve">Tên skill</t>
  </si>
  <si>
    <t xml:space="preserve">Định dạng mặc định</t>
  </si>
  <si>
    <t xml:space="preserve">Đã thử nghiệm</t>
  </si>
  <si>
    <t xml:space="preserve">Độ dài mô tả (ký tự)</t>
  </si>
  <si>
    <t xml:space="preserve">Mô tả bắt đầu bằng "Dùng khi"</t>
  </si>
  <si>
    <t xml:space="preserve">Mô tả có cụm "Dùng khi"</t>
  </si>
  <si>
    <t xml:space="preserve">Số từ SKILL.md</t>
  </si>
  <si>
    <t xml:space="preserve">Số ký tự SKILL.md</t>
  </si>
  <si>
    <t xml:space="preserve">Ký tự nạp mỗi lần (SKILL.md + 3 tham chiếu)</t>
  </si>
  <si>
    <t xml:space="preserve">Dòng bắt đầu mục "Khi nào dùng"</t>
  </si>
  <si>
    <t xml:space="preserve">Số bước</t>
  </si>
  <si>
    <t xml:space="preserve">Số dấu ⏱</t>
  </si>
  <si>
    <t xml:space="preserve">Số điểm rẽ nhánh trong lưu đồ</t>
  </si>
  <si>
    <t xml:space="preserve">Số lượt từ tiếng Anh</t>
  </si>
  <si>
    <t xml:space="preserve">Mô tả (nguyên văn)</t>
  </si>
  <si>
    <t xml:space="preserve">cntt</t>
  </si>
  <si>
    <t xml:space="preserve">Hạ tầng CNTT, an toàn thông tin, chuyển đổi số</t>
  </si>
  <si>
    <t xml:space="preserve">vnuis-cntt-bao-cao-chuyen-doi-so</t>
  </si>
  <si>
    <t xml:space="preserve">docx</t>
  </si>
  <si>
    <t xml:space="preserve">Không</t>
  </si>
  <si>
    <t xml:space="preserve">Có</t>
  </si>
  <si>
    <t xml:space="preserve">Soạn báo cáo hiện trạng và kết quả chuyển đổi số của VNU-IS: hạ tầng số, số hóa quy trình, dữ liệu, nhân lực số. Dùng cuối năm hoặc khi báo cáo cơ quan quản lý về tiến độ chuyển đổi số. Dùng khi cần báo cáo Ban Giám hiệu hoặc cơ quan quản lý về tiến độ chuyển đổi số của trường. Bản riêng cho Trường Quốc tế – ĐHQGHN (VNU-IS).</t>
  </si>
  <si>
    <t xml:space="preserve">vnuis-cntt-ke-hoach-phat-trien-cntt</t>
  </si>
  <si>
    <t xml:space="preserve">Lập kế hoạch phát triển công nghệ thông tin của VNU-IS theo giai đoạn: hạ tầng mạng, hệ thống quản lý đào tạo (SIS), học trực tuyến (LMS), tuyển sinh trực tuyến, số hóa quy trình. Dùng khi xây dựng kế hoạch CNTT hằng năm hoặc trung hạn. Bản riêng cho Trường Quốc tế – ĐHQGHN (VNU-IS).</t>
  </si>
  <si>
    <t xml:space="preserve">vnuis-cntt-phan-loai-yeu-cau-ho-tro</t>
  </si>
  <si>
    <t xml:space="preserve">Hỗ trợ người dùng CNTT: phân loại phiếu yêu cầu hỗ trợ, đánh giá ưu tiên theo cam kết xử lý, dự thảo hướng xử lý an toàn từng bước, gợi ý hỏi đáp, báo cáo xu hướng sự cố. Dùng chung cho mọi đơn vị có bộ phận CNTT. Dùng khi tiếp nhận yêu cầu hỗ trợ CNTT cần phân loại nhanh và ưu tiên đúng cam kết xử lý. Bản riêng cho Trường Quốc tế – ĐHQGHN (VNU-IS).</t>
  </si>
  <si>
    <t xml:space="preserve">vnuis-cntt-soan-quy-che-an-toan-thong-tin</t>
  </si>
  <si>
    <t xml:space="preserve">Soạn quy chế an toàn thông tin mạng của VNU-IS: quản lý tài khoản, phân quyền, bảo vệ dữ liệu, sao lưu, ứng phó sự cố. Dùng khi ban hành mới hoặc rà soát quy chế ATTT của trường. Bản riêng cho Trường Quốc tế – ĐHQGHN (VNU-IS).</t>
  </si>
  <si>
    <t xml:space="preserve">csvc</t>
  </si>
  <si>
    <t xml:space="preserve">Cơ sở vật chất – mua sắm, tài sản</t>
  </si>
  <si>
    <t xml:space="preserve">vnuis-csvc-ke-hoach-bao-tri</t>
  </si>
  <si>
    <t xml:space="preserve">Lập kế hoạch bảo trì, sửa chữa cơ sở vật chất năm của VNU-IS (khảo sát hiện trạng, phân loại ưu tiên, dự toán, tiến độ). Dùng khi Phòng TC&amp;QT (cơ sở vật chất) xây dựng kế hoạch duy tu, sửa chữa hằng năm. Bản riêng cho Trường Quốc tế – ĐHQGHN (VNU-IS).</t>
  </si>
  <si>
    <t xml:space="preserve">vnuis-csvc-ke-hoach-mua-sam</t>
  </si>
  <si>
    <t xml:space="preserve">Lập kế hoạch mua sắm trang thiết bị năm của VNU-IS (tổng hợp nhu cầu các đơn vị, phân loại hình thức lựa chọn nhà thầu, tiến độ theo quý). Dùng khi Phòng TC&amp;QT (cơ sở vật chất) tổng hợp nhu cầu mua sắm hằng năm hoặc điều chỉnh, bổ sung kế hoạch. Bản riêng cho Trường Quốc tế – ĐHQGHN (VNU-IS).</t>
  </si>
  <si>
    <t xml:space="preserve">vnuis-csvc-lap-bien-ban-kiem-ke-tai-san</t>
  </si>
  <si>
    <t xml:space="preserve">Lập biên bản kiểm kê tài sản cố định cuối năm của VNU-IS (đối chiếu sổ sách – thực tế, ghi nhận chênh lệch, kiến nghị xử lý). Dùng khi Phòng TC&amp;QT (cơ sở vật chất) tổ chức kiểm kê tài sản định kỳ hằng năm. Bản riêng cho Trường Quốc tế – ĐHQGHN (VNU-IS).</t>
  </si>
  <si>
    <t xml:space="preserve">vnuis-csvc-lap-bien-ban-nghiem-thu-thiet-bi</t>
  </si>
  <si>
    <t xml:space="preserve">Lập biên bản nghiệm thu, bàn giao trang thiết bị mua sắm (đối chiếu hợp đồng, kiểm tra số lượng – chủng loại – tình trạng – chạy thử, ghi nhận đạt/không đạt). Dùng khi Phòng TC&amp;QT (cơ sở vật chất) cùng đơn vị sử dụng tiếp nhận thiết bị từ nhà thầu. Bản riêng cho Trường Quốc tế – ĐHQGHN (VNU-IS).</t>
  </si>
  <si>
    <t xml:space="preserve">vnuis-csvc-soan-hop-dong-mua-sam</t>
  </si>
  <si>
    <t xml:space="preserve">Soạn hợp đồng mua sắm trang thiết bị giữa trường đại học và nhà thầu trúng thầu (điều khoản giao hàng, nghiệm thu, thanh toán, bảo hành, phạt vi phạm). Dùng khi Phòng TC&amp;QT (cơ sở vật chất) ký kết hợp đồng sau khi có kết quả lựa chọn nhà thầu. Bản riêng cho Trường Quốc tế – ĐHQGHN (VNU-IS).</t>
  </si>
  <si>
    <t xml:space="preserve">ctsv</t>
  </si>
  <si>
    <t xml:space="preserve">Công tác sinh viên</t>
  </si>
  <si>
    <t xml:space="preserve">vnuis-ctsv-bao-cao-cong-tac-sinh-vien-nam</t>
  </si>
  <si>
    <t xml:space="preserve">Soạn báo cáo tổng kết công tác sinh viên năm học đầy đủ các mảng (học bổng, rèn luyện, ký túc xá, phong trào, hỗ trợ việc làm, y tế – bảo hiểm) kèm số liệu, đánh giá ưu/khuyết điểm và phương hướng năm sau. Dùng khi Phòng Đào tạo (công tác sinh viên) lập báo cáo tổng kết năm học trình Ban Giám hiệu. Bản riêng cho Trường Quốc tế – ĐHQGHN (VNU-IS).</t>
  </si>
  <si>
    <t xml:space="preserve">vnuis-ctsv-ke-hoach-ngay-hoi-viec-lam</t>
  </si>
  <si>
    <t xml:space="preserve">Lập kế hoạch Ngày hội việc làm / kết nối doanh nghiệp của VNU-IS. Dùng khi cần tổ chức gian hàng tuyển dụng, phỏng vấn thử, tọa đàm kỹ năng nghề nghiệp cho sinh viên năm cuối và sinh viên mới tốt nghiệp. Bản riêng cho Trường Quốc tế – ĐHQGHN (VNU-IS).</t>
  </si>
  <si>
    <t xml:space="preserve">vnuis-ctsv-ke-hoach-tuan-sinh-hoat-cong-dan</t>
  </si>
  <si>
    <t xml:space="preserve">Lập kế hoạch Tuần sinh hoạt công dân cho sinh viên đầu khóa hoặc đầu năm học của VNU-IS. Dùng khi đầu năm học cần tổ chức cho sinh viên học tập nội quy, quy chế đào tạo, an ninh pháp luật, kỹ năng học đại học và sinh hoạt Đoàn – Hội. Bản riêng cho Trường Quốc tế – ĐHQGHN (VNU-IS).</t>
  </si>
  <si>
    <t xml:space="preserve">vnuis-ctsv-khao-sat-viec-lam-sau-tot-nghiep</t>
  </si>
  <si>
    <t xml:space="preserve">Thiết kế phiếu khảo sát và báo cáo tình trạng việc làm của sinh viên sau tốt nghiệp (tình trạng có việc làm, đúng ngành đào tạo, thu nhập, thời gian tìm việc). Dùng khi Phòng Đào tạo (công tác sinh viên) cần thực hiện khảo sát việc làm hằng năm theo khóa tốt nghiệp. Bản riêng cho Trường Quốc tế – ĐHQGHN (VNU-IS).</t>
  </si>
  <si>
    <t xml:space="preserve">vnuis-ctsv-lap-phieu-danh-gia-ren-luyen</t>
  </si>
  <si>
    <t xml:space="preserve">Lập phiếu đánh giá kết quả rèn luyện của sinh viên theo Thông tư 16/2015/TT-BGDĐT kèm hướng dẫn chấm điểm chi tiết. Dùng khi Phòng Đào tạo (công tác sinh viên) cần triển khai đánh giá rèn luyện cuối mỗi học kỳ: phát phiếu cho sinh viên tự đánh giá, lớp họp bình xét, cố vấn học tập và hội đồng khoa chấm điểm. Bản riêng cho Trường Quốc tế – ĐHQGHN (VNU-IS).</t>
  </si>
  <si>
    <t xml:space="preserve">vnuis-ctsv-phan-loai-yeu-cau-sinh-vien</t>
  </si>
  <si>
    <t xml:space="preserve">Phân loại case sinh viên tiếp nhận qua phiếu/email: tóm tắt, phân loại nghiệp vụ, đánh giá mức độ ưu tiên và cam kết xử lý, định tuyến đơn vị xử lý, soạn dự thảo phản hồi (chưa gửi). Cán bộ là người xác nhận và liên hệ sinh viên. Dùng chung cho mọi đơn vị tiếp nhận phản ánh của người học. Dùng khi tiếp nhận phản ánh, khiếu nại, đề nghị của sinh viên và cần phân loại ưu tiên. Bản VNU-IS.</t>
  </si>
  <si>
    <t xml:space="preserve">vnuis-ctsv-soan-quyet-dinh-cap-hoc-bong</t>
  </si>
  <si>
    <t xml:space="preserve">Soạn quyết định cấp học bổng hoặc miễn, giảm học phí cho sinh viên đúng thể thức quyết định hành chính. Dùng khi Phòng Đào tạo (công tác sinh viên) đã có danh sách sinh viên đủ điều kiện và cần trình Hiệu trưởng ký quyết định cấp học bổng / miễn giảm học phí kèm danh sách. Bản riêng cho Trường Quốc tế – ĐHQGHN (VNU-IS).</t>
  </si>
  <si>
    <t xml:space="preserve">vnuis-ctsv-soan-quyet-dinh-khen-thuong-ky-luat</t>
  </si>
  <si>
    <t xml:space="preserve">Soạn quyết định khen thưởng hoặc kỷ luật sinh viên của VNU-IS theo quy chế công tác sinh viên. Dùng khi có biên bản vi phạm cần xử lý kỷ luật (khiển trách, cảnh cáo, đình chỉ học tập có thời hạn, buộc thôi học) hoặc khi tổng kết khen thưởng sinh viên tiêu biểu. Bản riêng cho Trường Quốc tế – ĐHQGHN (VNU-IS).</t>
  </si>
  <si>
    <t xml:space="preserve">vnuis-ctsv-soan-thong-bao-hoc-bong</t>
  </si>
  <si>
    <t xml:space="preserve">Soạn thông báo học bổng của VNU-IS đúng thể thức hành chính. Dùng khi Phòng Đào tạo (công tác sinh viên) cần công bố học bổng khuyến khích học tập, học bổng tài trợ của doanh nghiệp/tổ chức, hoặc học bổng chính sách đến sinh viên. Bản riêng cho Trường Quốc tế – ĐHQGHN (VNU-IS).</t>
  </si>
  <si>
    <t xml:space="preserve">vnuis-ctsv-tong-hop-diem-ren-luyen</t>
  </si>
  <si>
    <t xml:space="preserve">xlsx</t>
  </si>
  <si>
    <t xml:space="preserve">Tổng hợp điểm rèn luyện của sinh viên toàn trường theo học kỳ từ kết quả các khoa. Dùng khi Phòng Đào tạo (công tác sinh viên) cần lập bảng tổng hợp theo khoa (số sinh viên từng mức xếp loại, tỷ lệ %) kèm nhận xét, đánh giá và kiến nghị để báo cáo Ban Giám hiệu. Bản riêng cho Trường Quốc tế – ĐHQGHN (VNU-IS).</t>
  </si>
  <si>
    <t xml:space="preserve">dbcl</t>
  </si>
  <si>
    <t xml:space="preserve">Đảm bảo chất lượng, kiểm định</t>
  </si>
  <si>
    <t xml:space="preserve">vnuis-dbcl-bao-cao-dam-bao-chat-luong-nam</t>
  </si>
  <si>
    <t xml:space="preserve">Soạn báo cáo tổng kết công tác đảm bảo chất lượng năm học của VNU-IS: khảo thí, tự đánh giá/kiểm định, khảo sát các bên liên quan, cải tiến chất lượng. Dùng cuối mỗi năm học để báo cáo Ban Giám hiệu và cơ quan quản lý. Dùng khi kết thúc năm học và Phòng Đào tạo (khảo thí, đảm bảo chất lượng) cần tổng hợp hoạt động đảm bảo chất lượng. Bản riêng cho Trường Quốc tế – ĐHQGHN (VNU-IS).</t>
  </si>
  <si>
    <t xml:space="preserve">vnuis-dbcl-bao-cao-tu-danh-gia</t>
  </si>
  <si>
    <t xml:space="preserve">Soạn báo cáo tự đánh giá cơ sở giáo dục hoặc chương trình đào tạo của VNU-IS theo bộ tiêu chuẩn kiểm định (Thông tư 20/2026/TT-BGDĐT cho CSGD, Thông tư 04/2025/TT-BGDĐT cho CTĐT). Dùng khi chuẩn bị kiểm định chất lượng giáo dục. Bản riêng cho Trường Quốc tế – ĐHQGHN (VNU-IS).</t>
  </si>
  <si>
    <t xml:space="preserve">vnuis-dbcl-ke-hoach-cai-tien-chat-luong</t>
  </si>
  <si>
    <t xml:space="preserve">Lập kế hoạch cải tiến chất lượng sau tự đánh giá hoặc sau kiểm định chất lượng giáo dục: từ khuyến nghị thành hành động cụ thể có đơn vị thực hiện, thời hạn, kinh phí và tiêu chí đánh giá. Dùng sau mỗi chu kỳ tự đánh giá / đón đoàn đánh giá ngoài. Dùng khi đã có kết quả tự đánh giá hoặc kết luận đánh giá ngoài và cần chuyển khuyến nghị thành kế hoạch hành động. Bản VNU-IS.</t>
  </si>
  <si>
    <t xml:space="preserve">vnuis-dbcl-lap-danh-muc-minh-chung</t>
  </si>
  <si>
    <t xml:space="preserve">Lập danh mục kiểm minh chứng kiểm định chất lượng giáo dục theo từng tiêu chí/tiêu chuẩn, kèm hướng dẫn mã hóa và phân công thu thập. Dùng khi chuẩn bị hồ sơ minh chứng cho tự đánh giá và đón đoàn đánh giá ngoài. Bản riêng cho Trường Quốc tế – ĐHQGHN (VNU-IS).</t>
  </si>
  <si>
    <t xml:space="preserve">dc</t>
  </si>
  <si>
    <t xml:space="preserve">Dùng chung – dữ liệu, khảo sát, dự án, tri thức</t>
  </si>
  <si>
    <t xml:space="preserve">vnuis-dc-dong-goi-skill-tu-quy-trinh</t>
  </si>
  <si>
    <t xml:space="preserve">zip</t>
  </si>
  <si>
    <t xml:space="preserve">Skill hướng dẫn tạo skill — phân rã một quy trình thực tế của đơn vị thành gói skill AI có thể tái dùng: process map, skill spec theo chuẩn SKILL.md, bộ test case kiểm thử. Dùng chung cho mọi đơn vị khi muốn số hóa tri thức nghiệp vụ. Dùng khi đơn vị muốn biến một quy trình công việc thành skill AI dùng lại được. Bản riêng cho Trường Quốc tế – ĐHQGHN (VNU-IS).</t>
  </si>
  <si>
    <t xml:space="preserve">vnuis-dc-hoi-dap-chinh-sach-co-trich-nguon</t>
  </si>
  <si>
    <t xml:space="preserve">Xây dựng bộ hỏi đáp chính sách từ văn bản quy định: mỗi câu trả lời chỉ dựa trên nguồn, trích rõ điều/khoản + ngày hiệu lực; từ chối khi ngoài phạm vi hoặc văn bản hết hiệu lực. Dùng chung cho mọi chính sách: học phí, học bổng, đào tạo, cán bộ... Dùng khi cần xây dựng hoặc vận hành kênh hỏi đáp về chính sách, quy định của trường. Bản riêng cho Trường Quốc tế – ĐHQGHN (VNU-IS).</t>
  </si>
  <si>
    <t xml:space="preserve">vnuis-dc-kiem-tra-chat-luong-du-lieu-bao-cao</t>
  </si>
  <si>
    <t xml:space="preserve">Kiểm tra tính đầy đủ và nhất quán của file dữ liệu trước khi lập báo cáo của Trường Quốc tế – ĐHQGHN: ô trống, kiểu dữ liệu, giá trị ngoài danh mục, bản ghi trùng, tổng phụ khác tổng, mã chương trình sai, số liệu mâu thuẫn giữa các file. Dùng khi cần kiểm tra trước khi lập báo cáo đào tạo, tuyển sinh, khoa học công nghệ hoặc báo cáo gửi ĐHQGHN.</t>
  </si>
  <si>
    <t xml:space="preserve">vnuis-dc-kiem-tra-day-du-ho-so</t>
  </si>
  <si>
    <t xml:space="preserve">Đối chiếu hồ sơ với danh mục kiểm tra: phát hiện thành phần thiếu, giấy tờ không hợp lệ (sai mẫu, hết hạn, thiếu chữ ký) → bảng đủ/thiếu + câu hỏi và dự thảo hướng dẫn bổ sung. Dùng khi tiếp nhận hồ sơ cần kiểm tra đủ/thiếu, bất kỳ loại hồ sơ nào trong trường (tuyển dụng, bổ nhiệm, khen thưởng, học bổng, tốt nghiệp...). Bản riêng cho Trường Quốc tế – ĐHQGHN (VNU-IS).</t>
  </si>
  <si>
    <t xml:space="preserve">vnuis-dc-lap-danh-muc-kho-tri-thuc</t>
  </si>
  <si>
    <t xml:space="preserve">Lập danh mục kho tri thức của Trường Quốc tế – ĐHQGHN từ danh sách file hồ sơ, biểu mẫu, hướng dẫn và bài học: phân loại, gắn nhãn đơn vị và nghiệp vụ, phát hiện trùng và bản cũ, đề xuất bản dùng chính. Dùng khi các đơn vị cần tìm và dùng lại tài liệu thay vì làm lại từ đầu.</t>
  </si>
  <si>
    <t xml:space="preserve">vnuis-dc-phan-tich-ket-qua-khao-sat</t>
  </si>
  <si>
    <t xml:space="preserve">Phân tích kết quả khảo sát các bên liên quan của VNU-IS (thống kê mô tả, so sánh nhóm, xu hướng) và đề xuất cải tiến. Dùng sau khi thu thập xong phiếu khảo sát sinh viên, giảng viên, cựu sinh viên, nhà tuyển dụng. Dùng khi đã có dữ liệu khảo sát thô và cần báo cáo phân tích có kết luận, đề xuất. Bản riêng cho Trường Quốc tế – ĐHQGHN (VNU-IS).</t>
  </si>
  <si>
    <t xml:space="preserve">vnuis-dc-quan-ly-phien-ban-tai-lieu</t>
  </si>
  <si>
    <t xml:space="preserve">Kiểm kê thư mục tài liệu ở chế độ CHỈ ĐỌC: lập bảng tra, phát hiện file trùng lặp/phiên bản, đề xuất taxonomy và quy tắc đặt tên, liệt kê tài liệu thiếu. Tuyệt đối không xóa, di chuyển hay đổi tên bất kỳ file nào. Dùng khi đơn vị cần sắp xếp lại thư mục tài liệu mà chưa muốn thay đổi file nào. Bản riêng cho Trường Quốc tế – ĐHQGHN (VNU-IS).</t>
  </si>
  <si>
    <t xml:space="preserve">vnuis-dc-quan-tri-du-an</t>
  </si>
  <si>
    <t xml:space="preserve">Quản trị dự án (điều phối dự án) cho Viện Đổi mới sáng tạo và Chuyển giao công nghệ: tracker tiến độ, vấn đề nhật ký, risk nhật ký, lessons learned theo từng dự án. Dùng khi viện triển khai các dự án NCKH, chuyển giao, ươm tạo cần theo dõi tập trung. Bản riêng cho Trường Quốc tế – ĐHQGHN (VNU-IS).</t>
  </si>
  <si>
    <t xml:space="preserve">vnuis-dc-thiet-ke-phieu-khao-sat</t>
  </si>
  <si>
    <t xml:space="preserve">Thiết kế phiếu khảo sát các bên liên quan của VNU-IS (sinh viên, giảng viên, cựu sinh viên, nhà tuyển dụng) phục vụ đảm bảo chất lượng. Dùng khi cần thu thập ý kiến để cải tiến chương trình đào tạo, dịch vụ. Bản riêng cho Trường Quốc tế – ĐHQGHN (VNU-IS).</t>
  </si>
  <si>
    <t xml:space="preserve">dmst</t>
  </si>
  <si>
    <t xml:space="preserve">Viện ĐMST&amp;CGCN – đổi mới sáng tạo, chuyển giao, đào tạo liên tục</t>
  </si>
  <si>
    <t xml:space="preserve">vnuis-dmst-bao-cao-dich-vu</t>
  </si>
  <si>
    <t xml:space="preserve">Lập báo cáo hoạt động dịch vụ khoa học công nghệ của VNU-IS: doanh thu, khách hàng, dự án/hợp đồng, hiệu quả và kế hoạch kỳ tới. Dùng cho đơn vị KHCN báo cáo định kỳ (quý/năm) với lãnh đạo trường. Bản riêng cho Trường Quốc tế – ĐHQGHN (VNU-IS).</t>
  </si>
  <si>
    <t xml:space="preserve">vnuis-dmst-bao-cao-du-an-dinh-ky</t>
  </si>
  <si>
    <t xml:space="preserve">Soạn báo cáo dự án định kỳ gửi khách hàng/đối tác cho Viện Đổi mới sáng tạo và Chuyển giao công nghệ: tiến độ, sản phẩm bàn giao, chỉ số đánh giá, vấn đề và kế hoạch kỳ tới. Dùng khi đến kỳ báo cáo theo hợp đồng/thỏa thuận dự án. Bản riêng cho Trường Quốc tế – ĐHQGHN (VNU-IS).</t>
  </si>
  <si>
    <t xml:space="preserve">vnuis-dmst-cap-chung-chi-dao-tao-lien-tuc</t>
  </si>
  <si>
    <t xml:space="preserve">Xét điều kiện hoàn thành khóa học, lập quyết định cấp chứng chỉ đào tạo liên tục / bồi dưỡng ngắn hạn và quản lý sổ cấp chứng chỉ. Dùng cuối mỗi khóa học. Dùng khi khóa bồi dưỡng ngắn hạn kết thúc và cần cấp chứng chỉ. Bản riêng cho Trường Quốc tế – ĐHQGHN (VNU-IS).</t>
  </si>
  <si>
    <t xml:space="preserve">vnuis-dmst-danh-gia-hieu-qua-chuong-trinh-du-an</t>
  </si>
  <si>
    <t xml:space="preserve">Đánh giá hiệu quả một chương trình hoặc dự án của Trường Quốc tế – ĐHQGHN so với mục tiêu ban đầu: đối chiếu chỉ số cam kết với kết quả, phản hồi người tham gia, chi phí và bài học. Dùng khi Viện hoặc Phòng KHCN và Hợp tác phát triển cần báo cáo đánh giá sau khi kết thúc hoặc sau thử nghiệm.</t>
  </si>
  <si>
    <t xml:space="preserve">vnuis-dmst-ke-hoach-dao-tao-lien-tuc</t>
  </si>
  <si>
    <t xml:space="preserve">Lập kế hoạch đào tạo liên tục năm của Trung tâm Đào tạo liên tục / Trường bồi dưỡng: khảo sát nhu cầu, danh mục khóa ngắn hạn, lịch khai giảng, dự toán thu chi. Dùng khi xây dựng kế hoạch năm hoặc điều chỉnh giữa kỳ. Bản riêng cho Trường Quốc tế – ĐHQGHN (VNU-IS).</t>
  </si>
  <si>
    <t xml:space="preserve">vnuis-dmst-ke-hoach-uom-tao</t>
  </si>
  <si>
    <t xml:space="preserve">Lập kế hoạch chương trình ươm tạo đổi mới sáng tạo của Viện: tiêu chí tuyển chọn, lộ trình ươm tạo theo giai đoạn, nguồn lực hỗ trợ và chỉ số đánh giá đầu ra. Dùng khi viện tổ chức các đợt ươm tạo startup/dự án khởi nghiệp. Bản riêng cho Trường Quốc tế – ĐHQGHN (VNU-IS).</t>
  </si>
  <si>
    <t xml:space="preserve">vnuis-dmst-lap-ho-so-chuyen-giao-cong-nghe</t>
  </si>
  <si>
    <t xml:space="preserve">Soạn hồ sơ chuyển giao công nghệ của Viện Đổi mới sáng tạo và Chuyển giao công nghệ: mô tả công nghệ, định giá, điều khoản thương thảo, biên bản chuyển giao. Dùng khi chuyển giao kết quả NCKH cho doanh nghiệp/tổ chức. Bản riêng cho Trường Quốc tế – ĐHQGHN (VNU-IS).</t>
  </si>
  <si>
    <t xml:space="preserve">vnuis-dmst-lap-ho-so-hop-dong-dich-vu</t>
  </si>
  <si>
    <t xml:space="preserve">Soạn trọn bộ hồ sơ hợp đồng dịch vụ khoa học công nghệ của VNU-IS (tư vấn, phân tích mẫu, chuyển giao, đào tạo theo nhu cầu): báo giá, hợp đồng, biên bản nghiệm thu dịch vụ, thanh lý hợp đồng. Dùng khi đơn vị KHCN ký dịch vụ với khách hàng ngoài trường. Bản riêng cho Trường Quốc tế – ĐHQGHN (VNU-IS).</t>
  </si>
  <si>
    <t xml:space="preserve">vnuis-dmst-sang-loc-sang-kien</t>
  </si>
  <si>
    <t xml:space="preserve">Tiếp nhận danh sách sáng kiến, nhu cầu đổi mới sáng tạo của Viện ĐMST&amp;CGCN, Trường Quốc tế – ĐHQGHN, chuẩn hóa thông tin, chấm sơ bộ theo tiêu chí do Viện đặt, xếp nhóm ưu tiên và liệt kê điểm còn thiếu. Dùng khi Viện nhận nhiều đề xuất cùng lúc và cần bảng so sánh để Ban lãnh đạo chọn.</t>
  </si>
  <si>
    <t xml:space="preserve">vnuis-dmst-to-chuc-khoa-boi-duong-ngan-han</t>
  </si>
  <si>
    <t xml:space="preserve">Lập kế hoạch chi tiết tổ chức một khóa bồi dưỡng ngắn hạn: giảng viên, học liệu, hậu cần, tuyển sinh, đánh giá và cấp chứng chỉ. Dùng khi triển khai từng khóa trong kế hoạch năm. Bản riêng cho Trường Quốc tế – ĐHQGHN (VNU-IS).</t>
  </si>
  <si>
    <t xml:space="preserve">dt</t>
  </si>
  <si>
    <t xml:space="preserve">Đào tạo (đại học, chương trình, liên kết)</t>
  </si>
  <si>
    <t xml:space="preserve">vnuis-dt-bao-cao-3-cong-khai</t>
  </si>
  <si>
    <t xml:space="preserve">Tổng hợp báo cáo 3 công khai của VNU-IS gồm: công khai cam kết chất lượng đào tạo; công khai điều kiện đảm bảo chất lượng; công khai thu chi tài chính (theo Thông tư 09/2024/TT-BGDĐT). Dùng khi trường phải công bố công khai hằng năm trên website. Không dùng để lập riêng bảng số liệu mảng đào tạo (dùng vnuis-dt-tong-hop-so-lieu-3-cong-khai). Bản riêng cho Trường Quốc tế – ĐHQGHN (VNU-IS).</t>
  </si>
  <si>
    <t xml:space="preserve">vnuis-dt-bao-cao-dao-tao-dinh-ky</t>
  </si>
  <si>
    <t xml:space="preserve">Soạn báo cáo công tác đào tạo định kỳ (học kỳ/năm học) của VNU-IS: tổng hợp quy mô sinh viên, kết quả học tập, tốt nghiệp, đội ngũ giảng viên, cơ sở vật chất; đánh giá thuận lợi/khó khăn và phương hướng kỳ tới. Dùng khi cần báo cáo sơ kết học kỳ, tổng kết năm học hoặc báo cáo cơ quan quản lý. Bản riêng cho Trường Quốc tế – ĐHQGHN (VNU-IS).</t>
  </si>
  <si>
    <t xml:space="preserve">vnuis-dt-doi-chieu-cong-nhan-tin-chi</t>
  </si>
  <si>
    <t xml:space="preserve">Lập bảng đối chiếu học phần khi sinh viên chuyển tiếp, trao đổi hoặc học theo mô hình 2+2 tại Trường Quốc tế – ĐHQGHN: ghép học phần nơi đi với học phần của chương trình nơi đến, so tín chỉ, giờ, chuẩn đầu ra, ngôn ngữ, ghi mức tương đương đề xuất. Dùng khi chuẩn bị hồ sơ để người có thẩm quyền quyết định công nhận.</t>
  </si>
  <si>
    <t xml:space="preserve">vnuis-dt-ke-hoach-dao-tao-nam-hoc</t>
  </si>
  <si>
    <t xml:space="preserve">Lập kế hoạch năm học cho phòng Đào tạo VNU-IS (khung thời gian khai giảng, học kỳ, lịch thi, nghỉ lễ/Tết, xét tốt nghiệp, mốc tuyển sinh, phân công đơn vị thực hiện). Dùng khi cần xây dựng kế hoạch đào tạo năm học mới hoặc điều chỉnh kế hoạch năm học hiện tại. Không dùng cho kế hoạch năm học toàn trường do Văn phòng tổng hợp (dùng vnuis-vp-ke-hoach-nam-hoc-toan-truong). Bản VNU-IS.</t>
  </si>
  <si>
    <t xml:space="preserve">vnuis-dt-lap-ma-tran-chuan-dau-ra</t>
  </si>
  <si>
    <t xml:space="preserve">Lập ma trận đối sánh chuẩn đầu ra học phần (CLO) với chuẩn đầu ra chương trình (PLO) theo mức I – R – M, kiểm tra mỗi PLO có ít nhất một học phần đạt mức M và rà soát học phần thừa/thiếu. Dùng khi thẩm định, rà soát hoặc kiểm định chương trình đào tạo. Bản riêng cho Trường Quốc tế – ĐHQGHN (VNU-IS).</t>
  </si>
  <si>
    <t xml:space="preserve">vnuis-dt-lap-thoi-khoa-bieu</t>
  </si>
  <si>
    <t xml:space="preserve">Lập thời khóa biểu học kỳ cho VNU-IS (xếp lớp học phần, phân công giảng viên, xếp phòng học, kiểm tra trùng lịch). Dùng khi cần xây dựng hoặc điều chỉnh thời khóa biểu một học kỳ trước khi công bố cho sinh viên và giảng viên. Bản riêng cho Trường Quốc tế – ĐHQGHN (VNU-IS).</t>
  </si>
  <si>
    <t xml:space="preserve">vnuis-dt-phan-cong-giang-day</t>
  </si>
  <si>
    <t xml:space="preserve">Lập bảng phân công giảng dạy học kỳ cho giảng viên của khoa/bộ môn VNU-IS: căn cứ danh mục học phần, chuyên môn và định mức giờ giảng. Dùng đầu mỗi học kỳ. Dùng khi bắt đầu học kỳ và khoa/bộ môn cần phân công giảng viên theo học phần, lớp học phần. Bản riêng cho Trường Quốc tế – ĐHQGHN (VNU-IS).</t>
  </si>
  <si>
    <t xml:space="preserve">vnuis-dt-ra-soat-tien-do-tot-nghiep</t>
  </si>
  <si>
    <t xml:space="preserve">Rà soát tiến độ tốt nghiệp bằng cách đối chiếu bảng điểm với chương trình đào tạo: kiểm tra hợp lệ dữ liệu, áp quy tắc tương đương học phần, liệt kê học phần còn thiếu và giải thích. Dùng chung cho Phòng Đào tạo, các khoa, cố vấn học tập. Dùng khi cuối học kỳ hoặc trước đợt xét tốt nghiệp, cần rà nhanh sinh viên đã đủ điều kiện tốt nghiệp chưa. Bản riêng cho Trường Quốc tế – ĐHQGHN (VNU-IS).</t>
  </si>
  <si>
    <t xml:space="preserve">vnuis-dt-soan-de-an-mo-nganh</t>
  </si>
  <si>
    <t xml:space="preserve">Soạn đề án mở ngành đào tạo trình độ đại học theo căn cứ hiện hành nêu tại phap-ly.md (sự cần thiết, điều kiện đội ngũ – CSVC, chương trình đào tạo dự kiến, kế hoạch tuyển sinh và đảm bảo chất lượng). Dùng khi trường chuẩn bị hồ sơ đề nghị cơ quan có thẩm quyền cho phép mở ngành mới (tuyến và thẩm quyền chờ C2, C6). Bản riêng cho Trường Quốc tế – ĐHQGHN (VNU-IS).</t>
  </si>
  <si>
    <t xml:space="preserve">vnuis-dt-soan-de-cuong-hoc-phan</t>
  </si>
  <si>
    <t xml:space="preserve">Soạn đề cương chi tiết học phần trình độ đại học (thông tin chung, mục tiêu và CLO, nội dung theo tuần, phương pháp giảng dạy, phương pháp và trọng số đánh giá, tài liệu học tập). Dùng khi xây dựng mới hoặc cập nhật đề cương từng học phần trong chương trình đào tạo. Bản riêng cho Trường Quốc tế – ĐHQGHN (VNU-IS).</t>
  </si>
  <si>
    <t xml:space="preserve">vnuis-dt-soan-quy-che-dao-tao</t>
  </si>
  <si>
    <t xml:space="preserve">Soạn mới hoặc sửa đổi, bổ sung quy chế đào tạo trình độ đại học của trường theo quy chế khung tại Thông tư 56/2026/TT-BGDĐT (tổ chức đào tạo, đánh giá học phần, công tác học vụ, tốt nghiệp, xử lý vi phạm). Dùng khi ban hành lần đầu hoặc cập nhật quy chế đào tạo của trường. Bản riêng cho Trường Quốc tế – ĐHQGHN (VNU-IS).</t>
  </si>
  <si>
    <t xml:space="preserve">vnuis-dt-soan-quyet-dinh-tot-nghiep</t>
  </si>
  <si>
    <t xml:space="preserve">Soạn quyết định công nhận tốt nghiệp cho sinh viên theo từng đợt (kèm danh sách xếp loại tốt nghiệp, chuyển in bằng). Dùng khi hội đồng xét tốt nghiệp đã họp và cần ban hành quyết định công nhận tốt nghiệp. Bản riêng cho Trường Quốc tế – ĐHQGHN (VNU-IS).</t>
  </si>
  <si>
    <t xml:space="preserve">vnuis-dt-soan-quyet-dinh-xu-ly-hoc-vu</t>
  </si>
  <si>
    <t xml:space="preserve">Soạn quyết định xử lý học vụ sinh viên (cảnh báo học vụ, buộc thôi học, bảo lưu kết quả học tập, chuyển trường) đúng thể thức Nghị định 30/2020/NĐ-CP. Dùng khi kết thúc học kỳ/năm học cần xử lý học vụ theo quy chế đào tạo. Bản riêng cho Trường Quốc tế – ĐHQGHN (VNU-IS).</t>
  </si>
  <si>
    <t xml:space="preserve">vnuis-dt-theo-doi-chuong-trinh-lien-ket</t>
  </si>
  <si>
    <t xml:space="preserve">Lập bảng theo dõi nghĩa vụ và mốc của từng chương trình liên kết hoặc song bằng của Trường Quốc tế – ĐHQGHN với đối tác: nội dung thỏa thuận, mốc báo cáo, kiểm định, thù lao, chỉ tiêu, ai làm gì và việc đến hạn. Dùng khi Phòng Đào tạo cần nắm các cam kết với từng đối tác trong một báo cáo thống nhất.</t>
  </si>
  <si>
    <t xml:space="preserve">vnuis-dt-theo-doi-tieng-anh-du-bi</t>
  </si>
  <si>
    <t xml:space="preserve">Theo dõi người học tiếng Anh dự bị của Trường Quốc tế – ĐHQGHN: danh sách lớp, kết quả đầu vào và các lần kiểm tra, chuyên cần, điều kiện chuyển lên chương trình chính, cảnh báo người học có nguy cơ chưa đạt. Dùng khi Phòng Đào tạo cần nắm tiến độ từng nhóm trước các mốc xét chuyển tiếp.</t>
  </si>
  <si>
    <t xml:space="preserve">vnuis-dt-tong-hop-so-lieu-3-cong-khai</t>
  </si>
  <si>
    <t xml:space="preserve">Tổng hợp số liệu 3 công khai mảng đào tạo của VNU-IS theo Thông tư 09/2024/TT-BGDĐT: công khai chất lượng đào tạo, điều kiện đảm bảo chất lượng, và thu chi tài chính mảng đào tạo. Dùng khi cần lập bộ bảng 3 công khai hằng năm để đăng website trường và báo cáo Bộ GD&amp;ĐT. Không dùng cho báo cáo 3 công khai tổng hợp toàn trường (dùng vnuis-dt-bao-cao-3-cong-khai). Bản VNU-IS.</t>
  </si>
  <si>
    <t xml:space="preserve">vnuis-dt-xay-dung-khung-chuong-trinh</t>
  </si>
  <si>
    <t xml:space="preserve">Xây dựng khung chương trình đào tạo trình độ đại học theo Thông tư 54/2026/TT-BGDĐT (mục tiêu, chuẩn đầu ra PLO, cấu trúc khối kiến thức và tổng số tín chỉ, mô tả vắn tắt từng học phần). Dùng khi xây dựng mới hoặc rà soát, cập nhật chương trình đào tạo của một ngành. Bản riêng cho Trường Quốc tế – ĐHQGHN (VNU-IS).</t>
  </si>
  <si>
    <t xml:space="preserve">hd</t>
  </si>
  <si>
    <t xml:space="preserve">Hội đồng KH&amp;ĐT</t>
  </si>
  <si>
    <t xml:space="preserve">vnuis-hd-kiem-tra-ho-so-trinh-hoi-dong</t>
  </si>
  <si>
    <t xml:space="preserve">Tiếp nhận, phân loại và kiểm tra thành phần hồ sơ trình Hội đồng Khoa học và Đào tạo của Trường Quốc tế – ĐHQGHN: xác định loại nội dung, đối chiếu danh mục thành phần, phiên bản, phụ lục, ý kiến đơn vị liên quan, lập phiếu tiếp nhận và danh sách cần bổ sung. Dùng khi cần kiểm tra hồ sơ trước khi đưa vào chương trình phiên họp.</t>
  </si>
  <si>
    <t xml:space="preserve">vnuis-hd-lap-phieu-lay-y-kien</t>
  </si>
  <si>
    <t xml:space="preserve">Soạn phiếu lấy ý kiến thành viên Hội đồng Khoa học và Đào tạo bằng văn bản khi không tổ chức họp tập trung: nội dung xin ý kiến, tài liệu kèm theo, ô ghi ý kiến và tổng hợp kết quả. Dùng cho các nội dung cần ý kiến hội đồng nhưng chưa đến kỳ họp. Bản riêng cho Trường Quốc tế – ĐHQGHN (VNU-IS).</t>
  </si>
  <si>
    <t xml:space="preserve">vnuis-hd-soan-bien-ban-hop</t>
  </si>
  <si>
    <t xml:space="preserve">Soạn biên bản họp Hội đồng Khoa học và Đào tạo: diễn biến, ý kiến từng thành viên và kết quả biểu quyết theo từng nội dung. Dùng sau mỗi phiên họp hội đồng. Dùng khi sau mỗi phiên họp Hội đồng Khoa học và Đào tạo cần lập biên bản. Bản riêng cho Trường Quốc tế – ĐHQGHN (VNU-IS).</t>
  </si>
  <si>
    <t xml:space="preserve">vnuis-hd-soan-nghi-quyet</t>
  </si>
  <si>
    <t xml:space="preserve">Soạn nghị quyết của Hội đồng Khoa học và Đào tạo: quyết nghị về chương trình đào tạo, đề tài NCKH, học hàm, và các nội dung chuyên môn thuộc thẩm quyền hội đồng. Dùng sau khi phiên họp đã biểu quyết thông qua. Dùng khi Hội đồng Khoa học và Đào tạo đã biểu quyết và cần ban hành nghị quyết. Bản riêng cho Trường Quốc tế – ĐHQGHN (VNU-IS).</t>
  </si>
  <si>
    <t xml:space="preserve">vnuis-hd-theo-doi-thuc-hien-ket-luan</t>
  </si>
  <si>
    <t xml:space="preserve">Chuyển nghị quyết, kết luận, kiến nghị của Hội đồng Khoa học và Đào tạo thuộc Trường Quốc tế – ĐHQGHN thành bảng theo dõi: nội dung, đơn vị chủ trì và phối hợp, hạn, minh chứng, trạng thái, phản hồi qua các phiên họp; cảnh báo quá hạn và tra cứu theo nội dung. Dùng khi sau mỗi phiên họp hoặc khi tổng hợp tình hình thực hiện.</t>
  </si>
  <si>
    <t xml:space="preserve">htqt</t>
  </si>
  <si>
    <t xml:space="preserve">Hợp tác quốc tế</t>
  </si>
  <si>
    <t xml:space="preserve">vnuis-htqt-bao-cao-hop-tac-quoc-te</t>
  </si>
  <si>
    <t xml:space="preserve">Tổng hợp hoạt động hợp tác quốc tế định kỳ của Trường Quốc tế – ĐHQGHN từ danh sách hoạt động, danh mục MOU/MOA, số liệu trao đổi người học và giảng viên, hội thảo và dự án: phân loại, đếm, đối chiếu mâu thuẫn, lập báo cáo theo mẫu. Dùng khi Phòng KHCN và Hợp tác phát triển báo cáo đối ngoại tháng, quý, năm.</t>
  </si>
  <si>
    <t xml:space="preserve">vnuis-htqt-ke-hoach-doan-ra-vao</t>
  </si>
  <si>
    <t xml:space="preserve">Lập kế hoạch đoàn ra (cán bộ đi công tác nước ngoài) và đoàn vào (đón tiếp đối tác quốc tế) cho VNU-IS: mục đích, thành phần đoàn, chương trình chi tiết theo ngày, kinh phí dự kiến. Dùng khi chuẩn bị chuyến công tác quốc tế hoặc đón đoàn đối tác. Bản riêng cho Trường Quốc tế – ĐHQGHN (VNU-IS).</t>
  </si>
  <si>
    <t xml:space="preserve">vnuis-htqt-ke-hoach-trao-doi-nguoi-hoc</t>
  </si>
  <si>
    <t xml:space="preserve">Lập kế hoạch trao đổi người học hoặc giảng viên của Trường Quốc tế – ĐHQGHN với đối tác: chương trình, chỉ tiêu, điều kiện, lịch, công nhận học phần, hồ sơ cần có và việc cần làm trước khi đi hoặc đến. Dùng khi Phòng KHCN và Hợp tác phát triển và Phòng Đào tạo chuẩn bị đợt trao đổi mới.</t>
  </si>
  <si>
    <t xml:space="preserve">vnuis-htqt-lap-ho-so-doi-tac</t>
  </si>
  <si>
    <t xml:space="preserve">Lập hồ sơ tóm tắt một đối tác quốc tế của Trường Quốc tế – ĐHQGHN từ tài liệu người dùng cung cấp (hồ sơ năng lực, MOU cũ, báo cáo hợp tác, tài liệu công khai đã tải): tên Việt và Anh, quốc gia, loại hình, lĩnh vực, lịch sử hợp tác, đầu mối, tình trạng thỏa thuận, mỗi thông tin kèm nguồn. Dùng khi cần chuẩn bị trước làm việc hoặc ký kết với đối tác.</t>
  </si>
  <si>
    <t xml:space="preserve">vnuis-htqt-soan-mou-moa-song-ngu</t>
  </si>
  <si>
    <t xml:space="preserve">Soạn biên bản ghi nhớ (MOU) / thỏa thuận hợp tác (MOA) SONG NGỮ Việt–Anh cho VNU-IS: các điều khoản mục đích, lĩnh vực hợp tác, trách nhiệm các bên, thời hạn, điều khoản chung. Dùng khi ký kết hợp tác với đối tác trong nước hoặc quốc tế. Bản riêng cho Trường Quốc tế – ĐHQGHN (VNU-IS).</t>
  </si>
  <si>
    <t xml:space="preserve">khaothi</t>
  </si>
  <si>
    <t xml:space="preserve">Khảo thí</t>
  </si>
  <si>
    <t xml:space="preserve">vnuis-khaothi-ke-hoach-to-chuc-thi</t>
  </si>
  <si>
    <t xml:space="preserve">Lập kế hoạch tổ chức kỳ thi kết thúc học phần / thi tốt nghiệp của VNU-IS: lịch thi, phân công nhiệm vụ, chuẩn bị đề thi – phòng thi, chấm thi và công bố kết quả. Dùng khi chuẩn bị mỗi kỳ thi trong năm học. Bản riêng cho Trường Quốc tế – ĐHQGHN (VNU-IS).</t>
  </si>
  <si>
    <t xml:space="preserve">vnuis-khaothi-lap-bien-ban-phong-thi</t>
  </si>
  <si>
    <t xml:space="preserve">Lập biên bản phòng thi và biên bản bàn giao bài thi trong các kỳ thi của VNU-IS. Dùng khi cán bộ coi thi cần ghi nhận diễn biến, số lượng thí sinh, vi phạm (nếu có) và bàn giao bài thi sau mỗi ca thi. Bản riêng cho Trường Quốc tế – ĐHQGHN (VNU-IS).</t>
  </si>
  <si>
    <t xml:space="preserve">vnuis-khaothi-phan-tich-ket-qua-thi</t>
  </si>
  <si>
    <t xml:space="preserve">Phân tích kết quả thi kết thúc học phần của VNU-IS: phổ điểm, các chỉ số thống kê, độ khó và độ phân biệt của câu hỏi/đề thi, từ đó đánh giá chất lượng đề thi và đề xuất cải tiến. Dùng sau mỗi kỳ thi. Dùng khi kỳ thi kết thúc và đã có bảng điểm. Bản riêng cho Trường Quốc tế – ĐHQGHN (VNU-IS).</t>
  </si>
  <si>
    <t xml:space="preserve">vnuis-khaothi-quy-trinh-ngan-hang-de-thi</t>
  </si>
  <si>
    <t xml:space="preserve">Xây dựng quy trình thu thập, phản biện, phê duyệt, bảo mật và khai thác ngân hàng đề thi / câu hỏi thi của VNU-IS. Dùng khi cần ban hành hoặc rà soát quy trình quản lý đề thi kết thúc học phần, thi tốt nghiệp. Bản riêng cho Trường Quốc tế – ĐHQGHN (VNU-IS).</t>
  </si>
  <si>
    <t xml:space="preserve">vnuis-khaothi-soan-quyet-dinh-phan-cong-thi</t>
  </si>
  <si>
    <t xml:space="preserve">Soạn quyết định phân công cán bộ coi thi, chấm thi, thanh tra thi trong các kỳ thi của VNU-IS đúng thể thức Nghị định 30/2020/NĐ-CP. Dùng mỗi kỳ thi kết thúc học phần, thi tốt nghiệp. Dùng khi cần ban hành quyết định phân công coi thi, chấm thi, thanh tra thi cho một kỳ thi cụ thể. Bản riêng cho Trường Quốc tế – ĐHQGHN (VNU-IS).</t>
  </si>
  <si>
    <t xml:space="preserve">vnuis-khaothi-soan-quyet-dinh-phuc-khao</t>
  </si>
  <si>
    <t xml:space="preserve">Soạn quyết định công nhận kết quả phúc khảo bài thi của sinh viên VNU-IS đúng thể thức Nghị định 30/2020/NĐ-CP. Dùng sau khi hội đồng phúc khảo chấm lại và có kết quả thay đổi/không thay đổi điểm. Dùng khi đã chấm phúc khảo xong và cần ban hành quyết định công nhận kết quả. Bản riêng cho Trường Quốc tế – ĐHQGHN (VNU-IS).</t>
  </si>
  <si>
    <t xml:space="preserve">khcn</t>
  </si>
  <si>
    <t xml:space="preserve">Khoa học công nghệ, sở hữu trí tuệ</t>
  </si>
  <si>
    <t xml:space="preserve">vnuis-khcn-bao-cao-khcn-htqt-nam</t>
  </si>
  <si>
    <t xml:space="preserve">Soạn báo cáo tổng kết công tác khoa học công nghệ và hợp tác quốc tế hằng năm của VNU-IS: đề tài các cấp, công bố khoa học, sở hữu trí tuệ, hội thảo, hợp tác quốc tế, số liệu tổng hợp theo bảng biểu. Dùng khi tổng kết năm, báo cáo ĐHQGHN/Bộ GD&amp;ĐT hoặc phục vụ kiểm định. Bản riêng cho Trường Quốc tế – ĐHQGHN (VNU-IS).</t>
  </si>
  <si>
    <t xml:space="preserve">vnuis-khcn-bao-cao-nghiem-thu-de-tai</t>
  </si>
  <si>
    <t xml:space="preserve">Soạn bộ hồ sơ nghiệm thu đề tài NCKH gồm 2 phần: (1) Báo cáo tổng kết đề tài và (2) Biên bản nghiệm thu của Hội đồng. Dùng khi đề tài kết thúc thời gian thực hiện, chuẩn bị họp hội đồng nghiệm thu và thanh lý hợp đồng. Bản riêng cho Trường Quốc tế – ĐHQGHN (VNU-IS).</t>
  </si>
  <si>
    <t xml:space="preserve">vnuis-khcn-bao-cao-tien-do-de-tai</t>
  </si>
  <si>
    <t xml:space="preserve">Soạn báo cáo tiến độ đề tài NCKH định kỳ 6 tháng hoặc hằng năm: nội dung đã thực hiện, kinh phí đã sử dụng, khó khăn vướng mắc, kế hoạch kỳ tiếp theo. Dùng giữa kỳ thực hiện đề tài để báo cáo Phòng KHCN&amp;HTPT hoặc cơ quan quản lý cấp trên. Dùng khi đề tài đang thực hiện và đến kỳ báo cáo tiến độ định kỳ. Bản riêng cho Trường Quốc tế – ĐHQGHN (VNU-IS).</t>
  </si>
  <si>
    <t xml:space="preserve">vnuis-khcn-bien-soan-giao-trinh</t>
  </si>
  <si>
    <t xml:space="preserve">Hỗ trợ biên soạn giáo trình, bài giảng đại học: từ đề cương chi tiết đến cấu trúc chương, phản biện và nghiệm thu. Dùng khi giảng viên/bộ môn được giao biên soạn giáo trình cho học phần. Bản riêng cho Trường Quốc tế – ĐHQGHN (VNU-IS).</t>
  </si>
  <si>
    <t xml:space="preserve">vnuis-khcn-bien-tap-ky-yeu-hoi-thao</t>
  </si>
  <si>
    <t xml:space="preserve">Biên tập kỷ yếu hội thảo khoa học của VNU-IS: thu thập bài viết, chuẩn hoá định dạng và trích dẫn tài liệu tham khảo, sắp xếp bài theo phiên thảo luận, soạn lời nói đầu và mục lục, xuất bản file hoàn chỉnh. Dùng khi cần xuất bản kỷ yếu sau hội thảo, hội nghị khoa học. Bản riêng cho Trường Quốc tế – ĐHQGHN (VNU-IS).</t>
  </si>
  <si>
    <t xml:space="preserve">vnuis-khcn-bien-tap-xuat-ban-an-pham</t>
  </si>
  <si>
    <t xml:space="preserve">Quy trình biên tập và xuất bản ấn phẩm của VNU-IS (giáo trình, sách chuyên khảo, kỷ yếu, tài liệu nội bộ): tiếp nhận bản thảo, biên tập nội dung – ngôn ngữ, chế bản, xin giấy phép, in và phát hành. Dùng cho Nhà xuất bản/ban biên tập của trường. Bản riêng cho Trường Quốc tế – ĐHQGHN (VNU-IS).</t>
  </si>
  <si>
    <t xml:space="preserve">vnuis-khcn-ke-hoach-hoi-thao</t>
  </si>
  <si>
    <t xml:space="preserve">Lập kế hoạch tổ chức hội thảo khoa học cấp trường, quốc gia hoặc quốc tế: chủ đề, thời gian, địa điểm, thành phần tham dự, chương trình chi tiết, dự toán kinh phí và thư mời tham dự. Dùng khi đơn vị được giao hoặc đề xuất tổ chức hội thảo. Bản riêng cho Trường Quốc tế – ĐHQGHN (VNU-IS).</t>
  </si>
  <si>
    <t xml:space="preserve">vnuis-khcn-lap-cau-truc-bai-bao</t>
  </si>
  <si>
    <t xml:space="preserve">Hỗ trợ cấu trúc và hoàn thiện bài báo khoa học: tiêu đề, tóm tắt (abstract), từ khóa, đặt vấn đề, phương pháp, kết quả, thảo luận, kết luận, tài liệu tham khảo; kiểm tra nội bộ trước khi gửi tạp chí. Dùng khi giảng viên, nghiên cứu sinh chuẩn bị bản thảo gửi tạp chí trong nước hoặc quốc tế. Bản riêng cho Trường Quốc tế – ĐHQGHN (VNU-IS).</t>
  </si>
  <si>
    <t xml:space="preserve">vnuis-khcn-lap-ho-so-cong-nhan-sang-kien</t>
  </si>
  <si>
    <t xml:space="preserve">Soạn hồ sơ đề nghị công nhận sáng kiến kinh nghiệm: đơn đề nghị, bản mô tả sáng kiến (thực trạng, giải pháp, hiệu quả áp dụng), ý kiến nhận xét của đơn vị và danh mục kiểm hồ sơ. Dùng khi cán bộ, giảng viên đăng ký công nhận sáng kiến cấp trường/cấp ngành. Bản riêng cho Trường Quốc tế – ĐHQGHN (VNU-IS).</t>
  </si>
  <si>
    <t xml:space="preserve">vnuis-khcn-lap-ho-so-quyet-toan-de-tai</t>
  </si>
  <si>
    <t xml:space="preserve">Kiểm tra và soạn hồ sơ thanh quyết toán kinh phí đề tài nghiên cứu khoa học: phân loại chứng từ theo nội dung chi (thuê khoán, vật tư, hội thảo, công tác phí...), đối chiếu với dự toán được duyệt, lập bảng quyết toán và danh mục kiểm hồ sơ. Dùng khi đề tài kết thúc hoặc đến kỳ thanh toán kinh phí. Bản riêng cho Trường Quốc tế – ĐHQGHN (VNU-IS).</t>
  </si>
  <si>
    <t xml:space="preserve">vnuis-khcn-lap-ho-so-so-huu-tri-tue</t>
  </si>
  <si>
    <t xml:space="preserve">Soạn hồ sơ đăng ký sáng chế / giải pháp hữu ích tại Cục Sở hữu trí tuệ: tờ khai, bản mô tả, yêu cầu bảo hộ, bản tóm tắt, hình vẽ minh họa; đối chiếu tính mới và trình độ sáng tạo trong quá trình chuẩn bị. Dùng khi giảng viên, nhóm nghiên cứu muốn bảo hộ kết quả nghiên cứu. Bản riêng cho Trường Quốc tế – ĐHQGHN (VNU-IS).</t>
  </si>
  <si>
    <t xml:space="preserve">vnuis-khcn-quan-tri-tap-chi</t>
  </si>
  <si>
    <t xml:space="preserve">Quản trị quy trình tạp chí khoa học của VNU-IS: tiếp nhận bản thảo, bình duyệt kín, hiệu đính, xuất bản số, quản lý ISSN. Dùng cho Ban biên tập tạp chí khoa học khi vận hành từng số tạp chí. Bản riêng cho Trường Quốc tế – ĐHQGHN (VNU-IS).</t>
  </si>
  <si>
    <t xml:space="preserve">vnuis-khcn-soan-hop-dong-thuc-hien-de-tai</t>
  </si>
  <si>
    <t xml:space="preserve">Soạn hợp đồng thực hiện đề tài/nhiệm vụ khoa học công nghệ giữa bên giao (trường hoặc cơ quan quản lý) và bên nhận (chủ nhiệm đề tài). Dùng sau khi đề tài được phê duyệt, trước khi triển khai và cấp kinh phí. Dùng khi đề tài NCKH đã có quyết định phê duyệt và cần lập hợp đồng thực hiện. Bản riêng cho Trường Quốc tế – ĐHQGHN (VNU-IS).</t>
  </si>
  <si>
    <t xml:space="preserve">vnuis-khcn-soan-thong-bao-dang-ky-de-tai</t>
  </si>
  <si>
    <t xml:space="preserve">Soạn thông báo đăng ký đề tài NCKH các cấp (cấp trường, cấp bộ/tỉnh, cấp nhà nước) đúng thể thức hành chính. Dùng khi Phòng KHCN&amp;HTPT triển khai đợt đăng ký đề tài NCKH hằng năm hoặc đột xuất cho cán bộ, giảng viên trong trường. Bản riêng cho Trường Quốc tế – ĐHQGHN (VNU-IS).</t>
  </si>
  <si>
    <t xml:space="preserve">vnuis-khcn-soan-thuyet-minh-de-tai</t>
  </si>
  <si>
    <t xml:space="preserve">Soạn thuyết minh đề tài nghiên cứu khoa học đầy đủ các mục bắt buộc: tính cấp thiết, mục tiêu, nội dung nghiên cứu, phương pháp, sản phẩm dự kiến, kinh phí chi tiết, tiến độ. Dùng khi chủ nhiệm đề tài chuẩn bị hồ sơ đăng ký hoặc thuyết trình trước hội đồng xét duyệt. Bản riêng cho Trường Quốc tế – ĐHQGHN (VNU-IS).</t>
  </si>
  <si>
    <t xml:space="preserve">vnuis-khcn-theo-doi-nguon-tai-tro</t>
  </si>
  <si>
    <t xml:space="preserve">Hỗ trợ quản lý nguồn tài trợ/tài trợ nghiên cứu: danh mục kiểm điều kiện tham gia, đối chiếu hồ sơ với yêu cầu của call, outline đề xuất, tracker mốc và sản phẩm bàn giao. Dùng chung cho PI, nhóm nghiên cứu, Phòng KHCN&amp;HTPT. Dùng khi chuẩn bị hồ sơ xin tài trợ nghiên cứu hoặc đang thực hiện nguồn tài trợ cần theo dõi mốc, kinh phí. Bản riêng cho Trường Quốc tế – ĐHQGHN (VNU-IS).</t>
  </si>
  <si>
    <t xml:space="preserve">vnuis-khcn-tong-quan-tai-lieu</t>
  </si>
  <si>
    <t xml:space="preserve">Tổng quan tài liệu khoa học (literature tổng quan) từ các tài liệu được cung cấp: trích xuất phương pháp/kết quả, lập ma trận so sánh, xác định khoảng trống nghiên cứu, trích dẫn chuẩn. Dùng chung cho mọi đơn vị làm nghiên cứu. Dùng khi viết phần tổng quan nghiên cứu cho đề tài, luận văn/luận án, bài báo. Bản riêng cho Trường Quốc tế – ĐHQGHN (VNU-IS).</t>
  </si>
  <si>
    <t xml:space="preserve">khoa</t>
  </si>
  <si>
    <t xml:space="preserve">Khoa, bộ môn</t>
  </si>
  <si>
    <t xml:space="preserve">vnuis-khoa-bao-cao-tong-ket-nam-hoc</t>
  </si>
  <si>
    <t xml:space="preserve">Soạn báo cáo tổng kết năm học của khoa/bộ môn VNU-IS: đào tạo, nghiên cứu khoa học, công tác sinh viên, đội ngũ, cơ sở vật chất. Dùng cuối mỗi năm học để báo cáo Ban Giám hiệu. Dùng khi kết thúc năm học và khoa cần tổng hợp hoạt động gửi Ban Giám hiệu. Bản riêng cho Trường Quốc tế – ĐHQGHN (VNU-IS).</t>
  </si>
  <si>
    <t xml:space="preserve">vnuis-khoa-ke-hoach-hoat-dong-trung-tam-thuc-hanh</t>
  </si>
  <si>
    <t xml:space="preserve">Lập kế hoạch hoạt động năm của trung tâm thực hành nghề nghiệp thuộc VNU-IS (VD: trung tâm thực hành pháp luật, phòng khám thực hành, xưởng thực hành): lịch thực hành mô phỏng, tiếp nhận vụ việc/ca thực tế, phân công giảng viên hướng dẫn, đánh giá sinh viên. Dùng đầu năm học. Dùng khi đầu năm học trung tâm thực hành cần lập kế hoạch hoạt động. Bản VNU-IS.</t>
  </si>
  <si>
    <t xml:space="preserve">vnuis-khoa-ke-hoach-nckh</t>
  </si>
  <si>
    <t xml:space="preserve">Lập kế hoạch nghiên cứu khoa học cấp khoa của VNU-IS trong năm học: đề tài các cấp, bài báo khoa học, hội thảo, giáo trình, hoạt động NCKH sinh viên. Dùng đầu mỗi năm học. Dùng khi đầu năm học khoa cần xây dựng kế hoạch nghiên cứu khoa học. Bản riêng cho Trường Quốc tế – ĐHQGHN (VNU-IS).</t>
  </si>
  <si>
    <t xml:space="preserve">vnuis-khoa-tro-ly-giang-day</t>
  </si>
  <si>
    <t xml:space="preserve">Trợ lý giảng dạy: dự thảo kế hoạch bài giảng, gợi ý học liệu, xây dựng thang tiêu chí chấm đánh giá, soạn dự thảo phản hồi cho sinh viên. Giảng viên duyệt toàn bộ trước khi dùng — dùng chung cho mọi khoa/bộ môn. Dùng khi chuẩn bị bài giảng, xây dựng thang tiêu chí chấm hoặc soạn nhận xét phản hồi cho sinh viên. Bản riêng cho Trường Quốc tế – ĐHQGHN (VNU-IS).</t>
  </si>
  <si>
    <t xml:space="preserve">nhansu</t>
  </si>
  <si>
    <t xml:space="preserve">Tổ chức cán bộ – nhân sự, thi đua khen thưởng</t>
  </si>
  <si>
    <t xml:space="preserve">vnuis-nhansu-bao-cao-thi-dua-khen-thuong</t>
  </si>
  <si>
    <t xml:space="preserve">Soạn dự thảo báo cáo tổng kết công tác thi đua, khen thưởng từ quyết định và số liệu đã được xác nhận của VNU-IS. Dùng khi cần tổng hợp kết quả đã ban hành, đối chiếu nguồn và trình cán bộ phụ trách kiểm duyệt. Không dùng để chấm điểm, xếp hạng cá nhân hoặc quyết định người được khen thưởng. Bản riêng cho Trường Quốc tế – ĐHQGHN (VNU-IS).</t>
  </si>
  <si>
    <t xml:space="preserve">vnuis-nhansu-bao-cao-thong-ke-nhan-su</t>
  </si>
  <si>
    <t xml:space="preserve">Lập báo cáo thống kê nhân sự định kỳ của Trường Quốc tế – ĐHQGHN từ file Excel nhân sự đã xuất: kiểm tra dữ liệu, áp định nghĩa chỉ tiêu, lập bảng cơ cấu theo đơn vị, chức danh, trình độ, loại hợp đồng và đối chiếu nhu cầu nhân lực. Dùng khi Phòng Tổ chức và Quản trị lập báo cáo nhân sự tuần, quý, năm hoặc trả lời số liệu cơ cấu, biên chế.</t>
  </si>
  <si>
    <t xml:space="preserve">vnuis-nhansu-de-an-vi-tri-viec-lam</t>
  </si>
  <si>
    <t xml:space="preserve">Xây dựng đề án vị trí việc làm của VNU-IS hoặc đơn vị trực thuộc theo căn cứ vị trí việc làm hiện hành (đối chiếu Nghị định 232/2026/NĐ-CP): danh mục vị trí việc làm, bản mô tả công việc, khung năng lực và số lượng người làm việc. Dùng khi cần rà soát, sắp xếp tổ chức bộ máy hoặc làm căn cứ tuyển dụng, bổ nhiệm, đánh giá viên chức. Bản riêng cho Trường Quốc tế – ĐHQGHN (VNU-IS).</t>
  </si>
  <si>
    <t xml:space="preserve">vnuis-nhansu-ke-hoach-dao-tao-boi-duong-can-bo</t>
  </si>
  <si>
    <t xml:space="preserve">Lập kế hoạch đào tạo, bồi dưỡng cán bộ, giảng viên năm của VNU-IS (đối tượng, nội dung, hình thức, kinh phí, tiến độ). Dùng khi Phòng TC&amp;QT (nhân sự) tổng hợp nhu cầu bồi dưỡng để xây dựng kế hoạch năm trình Hiệu trưởng phê duyệt. Bản riêng cho Trường Quốc tế – ĐHQGHN (VNU-IS).</t>
  </si>
  <si>
    <t xml:space="preserve">vnuis-nhansu-lap-ho-so-de-nghi-khen-thuong</t>
  </si>
  <si>
    <t xml:space="preserve">Soạn bộ hồ sơ đề nghị khen thưởng các cấp (tờ trình, báo cáo thành tích cá nhân/tập thể, danh sách trích ngang). Dùng khi Phòng TC&amp;QT (nhân sự) tổng hợp, hoàn thiện hồ sơ đề nghị khen thưởng gửi Hội đồng thi đua – khen thưởng các cấp. Bản riêng cho Trường Quốc tế – ĐHQGHN (VNU-IS).</t>
  </si>
  <si>
    <t xml:space="preserve">vnuis-nhansu-lap-phieu-danh-gia-vien-chuc</t>
  </si>
  <si>
    <t xml:space="preserve">Lập phiếu tự đánh giá, xếp loại viên chức hằng năm theo Nghị định 233/2026/NĐ-CP, kèm hướng dẫn tiêu chí chấm điểm (chính trị tư tưởng, đạo đức lối sống, tác phong, ý thức kỷ luật, kết quả thực hiện chức trách nhiệm vụ). Dùng khi tổ chức đánh giá viên chức cuối năm tại các đơn vị. Bản riêng cho Trường Quốc tế – ĐHQGHN (VNU-IS).</t>
  </si>
  <si>
    <t xml:space="preserve">vnuis-nhansu-quy-trinh-bo-nhiem</t>
  </si>
  <si>
    <t xml:space="preserve">Danh mục kiểm và soạn trọn bộ hồ sơ bổ nhiệm / bổ nhiệm lại / miễn nhiệm cán bộ quản lý VNU-IS (trưởng, phó các đơn vị): tờ trình, biên bản lấy phiếu tín nhiệm, quyết định bổ nhiệm. Dùng khi kiện toàn nhân sự lãnh đạo, quản lý các khoa, phòng, trung tâm. Bản riêng cho Trường Quốc tế – ĐHQGHN (VNU-IS).</t>
  </si>
  <si>
    <t xml:space="preserve">vnuis-nhansu-quy-trinh-tuyen-dung</t>
  </si>
  <si>
    <t xml:space="preserve">Trọn gói quy trình tuyển dụng viên chức VNU-IS theo Nghị định 259/2026/NĐ-CP: xây dựng kế hoạch → thông báo tuyển dụng → tiếp nhận hồ sơ → xét tuyển → quyết định trúng tuyển → ký hợp đồng. Dùng khi trường cần tuyển mới viên chức (giảng viên, chuyên viên, kỹ thuật viên). Bản riêng cho Trường Quốc tế – ĐHQGHN (VNU-IS).</t>
  </si>
  <si>
    <t xml:space="preserve">vnuis-nhansu-soan-hop-dong-lam-viec</t>
  </si>
  <si>
    <t xml:space="preserve">Soạn hợp đồng làm việc đối với viên chức và hợp đồng lao động đối với người lao động trong VNU-IS, đầy đủ các điều khoản về công việc, thời hạn, tiền lương, quyền và nghĩa vụ hai bên. Dùng để chuẩn bị hợp đồng theo đối tượng và căn cứ hiện hành; hồ sơ ký lại hoặc chuyển loại hợp đồng chỉ xử lý khi có căn cứ và điều kiện chuyển tiếp cho phép. Bản riêng cho Trường Quốc tế – ĐHQGHN (VNU-IS).</t>
  </si>
  <si>
    <t xml:space="preserve">vnuis-nhansu-soan-quyet-dinh-cu-di-dao-tao</t>
  </si>
  <si>
    <t xml:space="preserve">Soạn quyết định cử cán bộ, viên chức, giảng viên đi đào tạo, bồi dưỡng, tập huấn trong và ngoài nước. Dùng khi Phòng TC&amp;QT (nhân sự) cử người đi học theo kế hoạch hoặc theo nhu cầu đột xuất, làm căn cứ chế độ, kinh phí. Bản riêng cho Trường Quốc tế – ĐHQGHN (VNU-IS).</t>
  </si>
  <si>
    <t xml:space="preserve">vnuis-nhansu-soan-quyet-dinh-dieu-dong</t>
  </si>
  <si>
    <t xml:space="preserve">Soạn quyết định điều động, luân chuyển, biệt phái viên chức VNU-IS đúng thể thức Nghị định 30/2020/NĐ-CP. Dùng khi cần chuyển viên chức giữa các đơn vị trong trường, luân chuyển cán bộ quản lý, hoặc cử đi biệt phái thực hiện nhiệm vụ. Bản riêng cho Trường Quốc tế – ĐHQGHN (VNU-IS).</t>
  </si>
  <si>
    <t xml:space="preserve">vnuis-nhansu-soan-quyet-dinh-khen-thuong-ky-luat-vien-chuc</t>
  </si>
  <si>
    <t xml:space="preserve">Soạn quyết định khen thưởng hoặc kỷ luật viên chức, người lao động của VNU-IS đúng thể thức Nghị định 30/2020/NĐ-CP. Dùng khi Hội đồng thi đua – khen thưởng / Hội đồng kỷ luật đã có kết luận và cần ban hành quyết định chính thức của Hiệu trưởng. Không dùng cho các quyết định hành chính khác (dùng vnuis-vp-soan-quyet-dinh-hanh-chinh). Bản riêng cho Trường Quốc tế – ĐHQGHN (VNU-IS).</t>
  </si>
  <si>
    <t xml:space="preserve">vnuis-nhansu-soan-quyet-dinh-nang-luong</t>
  </si>
  <si>
    <t xml:space="preserve">Soạn quyết định nâng bậc lương thường xuyên, nâng lương trước thời hạn, hưởng phụ cấp thâm niên vượt khung và chuyển ngạch/chuyển chức danh nghề nghiệp cho viên chức. Dùng khi đến kỳ xét nâng lương (quý I hằng năm), xét trước thời hạn do lập thành tích xuất sắc, hoặc viên chức đủ điều kiện chuyển ngạch. Bản riêng cho Trường Quốc tế – ĐHQGHN (VNU-IS).</t>
  </si>
  <si>
    <t xml:space="preserve">vnuis-nhansu-soan-thong-bao-tuyen-dung</t>
  </si>
  <si>
    <t xml:space="preserve">Soạn thông báo tuyển dụng viên chức VNU-IS đúng thể thức Nghị định 30/2020/NĐ-CP: vị trí, chỉ tiêu, tiêu chuẩn, hồ sơ, thời hạn, lệ phí. Dùng khi cần đăng thông báo tuyển dụng công khai sau khi kế hoạch tuyển dụng được phê duyệt. Bản riêng cho Trường Quốc tế – ĐHQGHN (VNU-IS).</t>
  </si>
  <si>
    <t xml:space="preserve">vnuis-nhansu-tong-hop-danh-gia-vien-chuc</t>
  </si>
  <si>
    <t xml:space="preserve">Tổng hợp kết quả đánh giá, xếp loại viên chức hằng năm của toàn trường từ báo cáo các đơn vị: số lượng theo 4 mức xếp loại, phân tích theo khối đơn vị, nhận xét và kiến nghị. Dùng khi Phòng TC&amp;QT (nhân sự) báo cáo Ban Giám hiệu / cấp có thẩm quyền (C6) sau đợt đánh giá cuối năm. Bản riêng cho Trường Quốc tế – ĐHQGHN (VNU-IS).</t>
  </si>
  <si>
    <t xml:space="preserve">phapche</t>
  </si>
  <si>
    <t xml:space="preserve">Pháp chế – thanh tra</t>
  </si>
  <si>
    <t xml:space="preserve">vnuis-phapche-ke-hoach-thanh-tra-nam</t>
  </si>
  <si>
    <t xml:space="preserve">Lập kế hoạch thanh tra nội bộ năm của VNU-IS: xác định lĩnh vực thanh tra (đào tạo, tuyển sinh, thi cử, tài chính...), đối tượng, thời gian, đoàn thanh tra và phương pháp. Dùng khi Phòng TC&amp;QT (thanh tra – pháp chế) xây dựng kế hoạch thanh tra hằng năm trình Hiệu trưởng phê duyệt. Không dùng cho kế hoạch kiểm toán nội bộ (dùng ke-hoach-kiem-toan-noi-bo). Bản VNU-IS.</t>
  </si>
  <si>
    <t xml:space="preserve">vnuis-phapche-soan-ket-luan-thanh-tra</t>
  </si>
  <si>
    <t xml:space="preserve">Soạn kết luận thanh tra sau khi kết thúc một cuộc thanh tra nội bộ: nêu căn cứ (quyết định thanh tra), nội dung đã thanh tra, nhận xét và đánh giá từng nội dung, kết luận chung, kiến nghị xử lý và khắc phục. Dùng khi Đoàn thanh tra hoàn tất xác minh và cần ban hành kết luận chính thức. Bản riêng cho Trường Quốc tế – ĐHQGHN (VNU-IS).</t>
  </si>
  <si>
    <t xml:space="preserve">vnuis-phapche-soan-quy-che-to-chuc-hoat-dong-don-vi</t>
  </si>
  <si>
    <t xml:space="preserve">Soạn quy chế tổ chức và hoạt động của đơn vị trực thuộc VNU-IS (phòng, khoa, trung tâm, viện): chức năng, nhiệm vụ, cơ cấu tổ chức, chế độ làm việc và mối quan hệ công tác, đúng thể thức Nghị định 30/2020/NĐ-CP. Dùng khi thành lập mới, chia tách, sáp nhập hoặc rà soát, sửa đổi quy chế của đơn vị. Không dùng cho quy chế của cả trường (dùng quy-che-to-chuc-hoat-dong-truong). Bản VNU-IS.</t>
  </si>
  <si>
    <t xml:space="preserve">vnuis-phapche-soan-quyet-dinh-giai-quyet-khieu-nai</t>
  </si>
  <si>
    <t xml:space="preserve">Soạn quyết định giải quyết khiếu nại / tố cáo trong VNU-IS: tóm tắt đơn, quá trình xác minh, căn cứ pháp lý (Luật Khiếu nại 2011, Luật Tố cáo 2018), nội dung quyết định (giữ nguyên / sửa đổi / hủy bỏ / công nhận / bác) và quyền khiếu nại tiếp, khởi kiện. Dùng khi Hiệu trưởng giải quyết khiếu nại lần đầu hoặc tố cáo thuộc thẩm quyền. Bản riêng cho Trường Quốc tế – ĐHQGHN (VNU-IS).</t>
  </si>
  <si>
    <t xml:space="preserve">vnuis-phapche-tham-dinh-phap-ly-van-ban</t>
  </si>
  <si>
    <t xml:space="preserve">Cho ý kiến pháp lý về dự thảo văn bản nội bộ của Trường: kiểm tra thẩm quyền ban hành, căn cứ pháp lý, tính thống nhất với văn bản cấp trên và văn bản nội bộ hiện hành, thể thức theo Nghị định 30/2020/NĐ-CP. Dùng khi đơn vị trình dự thảo văn bản nội bộ cần ý kiến pháp lý. Kết quả: phiếu ý kiến pháp lý một trong ba mức (đồng ý / đồng ý có điều kiện / không đồng ý kèm lý do). Bản VNU-IS.</t>
  </si>
  <si>
    <t xml:space="preserve">vnuis-phapche-theo-doi-thay-doi-van-ban-phap-quy</t>
  </si>
  <si>
    <t xml:space="preserve">Theo dõi thay đổi văn bản pháp quy: so sánh điều khoản cũ/mới, đánh dấu giữ nguyên–sửa đổi–bãi bỏ–bổ sung, lập ma trận nghĩa vụ thay đổi và danh mục kiểm cập nhật nội bộ. Dùng chung cho mọi đơn vị. Dùng khi có văn bản pháp quy mới thay thế hoặc sửa đổi văn bản đang áp dụng và cần đánh giá tác động. Bản riêng cho Trường Quốc tế – ĐHQGHN (VNU-IS).</t>
  </si>
  <si>
    <t xml:space="preserve">sdh</t>
  </si>
  <si>
    <t xml:space="preserve">Sau đại học</t>
  </si>
  <si>
    <t xml:space="preserve">vnuis-sdh-bao-cao-dao-tao</t>
  </si>
  <si>
    <t xml:space="preserve">Soạn báo cáo công tác đào tạo sau đại học hằng năm của VNU-IS: tổng hợp tuyển sinh SĐH, quy mô học viên/NCS theo ngành, tiến độ bảo vệ, văn bằng đã cấp, đội ngũ hướng dẫn, cùng khó khăn và kiến nghị. Dùng khi Phòng Đào tạo (sau đại học) cần báo cáo tổng kết năm gửi Ban Giám hiệu và Bộ GD&amp;ĐT. Bản riêng cho Trường Quốc tế – ĐHQGHN (VNU-IS).</t>
  </si>
  <si>
    <t xml:space="preserve">vnuis-sdh-ke-hoach-dao-tao</t>
  </si>
  <si>
    <t xml:space="preserve">Lập kế hoạch đào tạo sau đại học theo dõi tiến độ học viên cao học và nghiên cứu sinh: khung thời gian toàn khóa, các mốc học học phần, bảo vệ đề cương, seminar, bảo vệ luận văn/luận án, phân công người hướng dẫn và theo dõi định kỳ. Dùng khi Phòng Đào tạo (sau đại học) quản lý tiến độ từng khóa/lớp cao học, NCS. Bản riêng cho Trường Quốc tế – ĐHQGHN (VNU-IS).</t>
  </si>
  <si>
    <t xml:space="preserve">vnuis-sdh-lap-bien-ban-bao-ve-luan-van</t>
  </si>
  <si>
    <t xml:space="preserve">Lập biên bản buổi bảo vệ luận văn thạc sĩ / luận án tiến sĩ: ghi nhận thành phần hội đồng, diễn biến buổi bảo vệ, tổng hợp phiếu đánh giá và điểm, kết luận đạt/không đạt cùng yêu cầu chỉnh sửa. Dùng ngay sau khi kết thúc buổi bảo vệ để làm căn cứ ra quyết định công nhận tốt nghiệp. Dùng khi ngay sau buổi bảo vệ luận văn thạc sĩ hoặc luận án tiến sĩ. Bản riêng cho Trường Quốc tế – ĐHQGHN (VNU-IS).</t>
  </si>
  <si>
    <t xml:space="preserve">vnuis-sdh-soan-quyet-dinh-hoi-dong-bao-ve</t>
  </si>
  <si>
    <t xml:space="preserve">Soạn quyết định thành lập hội đồng đánh giá luận văn thạc sĩ / luận án tiến sĩ đúng thể thức Nghị định 30/2020/NĐ-CP. Dùng khi học viên cao học hoặc nghiên cứu sinh đủ điều kiện bảo vệ và cần thành lập hội đồng chấm theo tiêu chuẩn quy định. Bản riêng cho Trường Quốc tế – ĐHQGHN (VNU-IS).</t>
  </si>
  <si>
    <t xml:space="preserve">vnuis-sdh-soan-thong-bao-tuyen-sinh</t>
  </si>
  <si>
    <t xml:space="preserve">Soạn thông báo tuyển sinh trình độ thạc sĩ và tiến sĩ: chỉ tiêu từng ngành, điều kiện dự tuyển (văn bằng, kinh nghiệm, ngoại ngữ), hồ sơ, hình thức tuyển (xét tuyển/thi tuyển), thời gian đào tạo và học phí. Dùng khi Phòng Đào tạo (sau đại học) công bố tuyển sinh sau đại học hằng năm/đợt. Không dùng cho tuyển sinh đại học (dùng vnuis-ts-soan-thong-bao-tuyen-sinh-dai-hoc). Bản VNU-IS.</t>
  </si>
  <si>
    <t xml:space="preserve">taichinh</t>
  </si>
  <si>
    <t xml:space="preserve">Kế hoạch – tài chính</t>
  </si>
  <si>
    <t xml:space="preserve">vnuis-taichinh-bao-cao-cong-khai-tai-chinh</t>
  </si>
  <si>
    <t xml:space="preserve">Soạn báo cáo công khai tài chính của VNU-IS để minh bạch ngân sách, gắn với 3 công khai theo Thông tư 09/2024/TT-BGDĐT. Dùng khi Phòng TC&amp;QT (kế hoạch – tài chính) cần công bố học phí, tổng thu – chi, chi cho người học và kết quả kiểm toán trên cổng thông tin điện tử. Không dùng cho báo cáo tài chính năm theo chế độ kế toán (dùng vnuis-taichinh-bao-cao-tai-chinh). Bản VNU-IS.</t>
  </si>
  <si>
    <t xml:space="preserve">vnuis-taichinh-bao-cao-quyet-toan</t>
  </si>
  <si>
    <t xml:space="preserve">Soạn báo cáo quyết toán ngân sách năm của VNU-IS, so sánh dự toán với thực hiện và giải trình chênh lệch. Dùng khi Phòng TC&amp;QT (kế hoạch – tài chính) tổng kết tình hình thu – chi ngân sách đã kết thúc năm để trình duyệt quyết toán. Bản riêng cho Trường Quốc tế – ĐHQGHN (VNU-IS).</t>
  </si>
  <si>
    <t xml:space="preserve">vnuis-taichinh-bao-cao-tai-chinh</t>
  </si>
  <si>
    <t xml:space="preserve">Lập báo cáo tài chính năm của VNU-IS theo chế độ kế toán hành chính sự nghiệp (Thông tư 24/2024/TT-BTC). Dùng khi Phòng TC&amp;QT (kế hoạch – tài chính) khóa sổ năm và lập bộ báo cáo tài chính gồm Bảng cân đối kế toán, Báo cáo kết quả hoạt động và Báo cáo lưu chuyển tiền tệ. Không dùng cho báo cáo công khai tài chính (dùng vnuis-taichinh-bao-cao-cong-khai-tai-chinh). Bản VNU-IS.</t>
  </si>
  <si>
    <t xml:space="preserve">vnuis-taichinh-kiem-tra-chung-tu-thanh-toan</t>
  </si>
  <si>
    <t xml:space="preserve">Lập danh mục kiểm chứng từ thanh toán cho từng loại chi của VNU-IS (lương, học bổng, đề tài NCKH, mua sắm, công tác phí, tiếp khách – hội nghị). Dùng khi Phòng TC&amp;QT (kế hoạch – tài chính) kiểm soát tính đầy đủ, hợp lệ của bộ chứng từ trước khi chi tiền. Bản riêng cho Trường Quốc tế – ĐHQGHN (VNU-IS).</t>
  </si>
  <si>
    <t xml:space="preserve">vnuis-taichinh-lap-du-toan-nam</t>
  </si>
  <si>
    <t xml:space="preserve">Lập dự toán thu – chi ngân sách năm của VNU-IS, cân đối thu = chi trước khi trình duyệt. Dùng khi Phòng TC&amp;QT (kế hoạch – tài chính) xây dựng kế hoạch ngân sách năm học/năm tài chính mới từ số liệu các nguồn thu và nội dung chi. Bản riêng cho Trường Quốc tế – ĐHQGHN (VNU-IS).</t>
  </si>
  <si>
    <t xml:space="preserve">vnuis-taichinh-phan-tich-chenh-lech-ngan-sach</t>
  </si>
  <si>
    <t xml:space="preserve">Phân tích chênh lệch ngân sách bằng cách đối chiếu dự toán với thực hiện theo từng mục: tính variance, đánh dấu vượt ngưỡng, phân loại nguyên nhân, dự thảo giải trình. Dùng chung cho mọi đơn vị có ngân sách. Dùng khi cuối quý/năm hoặc cần giải trình chênh lệch giữa dự toán và thực hiện. Bản riêng cho Trường Quốc tế – ĐHQGHN (VNU-IS).</t>
  </si>
  <si>
    <t xml:space="preserve">vnuis-taichinh-soan-thong-bao-muc-thu-hoc-phi</t>
  </si>
  <si>
    <t xml:space="preserve">Soạn thông báo mức thu học phí / lệ phí năm học của VNU-IS đúng thể thức văn bản hành chính. Dùng khi Phòng TC&amp;QT (kế hoạch – tài chính) cần công bố công khai mức thu học phí theo khối ngành và hệ đào tạo (chính quy, vừa làm vừa học) cho sinh viên, giảng viên và các đơn vị. Bản riêng cho Trường Quốc tế – ĐHQGHN (VNU-IS).</t>
  </si>
  <si>
    <t xml:space="preserve">thuvien</t>
  </si>
  <si>
    <t xml:space="preserve">Thông tin thư viện</t>
  </si>
  <si>
    <t xml:space="preserve">vnuis-thuvien-bao-cao-cong-tac</t>
  </si>
  <si>
    <t xml:space="preserve">Soạn báo cáo tổng kết công tác thư viện VNU-IS: vốn tài liệu, phục vụ bạn đọc, số hóa, cơ sở dữ liệu điện tử. Dùng cuối năm học hoặc khi báo cáo kiểm định (minh chứng CSVC, học liệu). Dùng khi kết thúc năm học và thư viện cần tổng kết hoạt động phục vụ bạn đọc, phát triển vốn tài liệu. Bản riêng cho Trường Quốc tế – ĐHQGHN (VNU-IS).</t>
  </si>
  <si>
    <t xml:space="preserve">vnuis-thuvien-ke-hoach-bo-sung-hoc-lieu</t>
  </si>
  <si>
    <t xml:space="preserve">Lập kế hoạch bổ sung và số hóa học liệu của thư viện VNU-IS theo nhu cầu đào tạo của các khoa: sách, giáo trình, cơ sở dữ liệu điện tử, tài liệu số hóa. Dùng khi xây dựng kế hoạch phát triển vốn tài liệu hằng năm. Bản riêng cho Trường Quốc tế – ĐHQGHN (VNU-IS).</t>
  </si>
  <si>
    <t xml:space="preserve">ts</t>
  </si>
  <si>
    <t xml:space="preserve">Tuyển sinh</t>
  </si>
  <si>
    <t xml:space="preserve">vnuis-ts-bao-cao-ket-qua-tuyen-sinh</t>
  </si>
  <si>
    <t xml:space="preserve">Tổng hợp và soạn báo cáo kết quả tuyển sinh đại học gửi cơ quan tiếp nhận (ĐHQGHN hoặc Bộ GD&amp;ĐT): số lượng đăng ký/trúng tuyển/nhập học theo từng phương thức và từng ngành, so sánh với chỉ tiêu, phân tích điểm chuẩn, khó khăn và kiến nghị. Dùng khi kết thúc đợt tuyển sinh và Phòng Đào tạo cần báo cáo kết quả gửi cơ quan quản lý. Bản riêng cho Trường Quốc tế – ĐHQGHN (VNU-IS).</t>
  </si>
  <si>
    <t xml:space="preserve">vnuis-ts-de-bai-chien-dich-tuyen-sinh</t>
  </si>
  <si>
    <t xml:space="preserve">Soạn bản yêu cầu chiến dịch tuyển sinh: mục tiêu, đối tượng, thông điệp, kênh, ngân sách, chỉ số đánh giá, timeline. Dùng trước mỗi đợt chiến dịch để thống nhất toàn nhóm và trình duyệt. Dùng khi trước mỗi đợt chiến dịch tuyển sinh cần một bản yêu cầu thống nhất để triển khai và trình duyệt. Bản riêng cho Trường Quốc tế – ĐHQGHN (VNU-IS).</t>
  </si>
  <si>
    <t xml:space="preserve">vnuis-ts-hoi-dap-tuyen-sinh</t>
  </si>
  <si>
    <t xml:space="preserve">Xây dựng bộ hỏi đáp tuyển sinh theo quy chế/đề án tuyển sinh: mỗi câu trả lời trích nguồn văn bản và ghi rõ năm áp dụng. Dùng cho website, chatbot, tư vấn viên. Bản riêng cho Trường Quốc tế – ĐHQGHN (VNU-IS).</t>
  </si>
  <si>
    <t xml:space="preserve">vnuis-ts-kich-ban-tu-van-tuyen-sinh</t>
  </si>
  <si>
    <t xml:space="preserve">Xây dựng kịch bản tư vấn tuyển sinh và hướng nghiệp theo từng đối tượng (học sinh THPT, phụ huynh): câu hỏi thường gặp, câu trả lời chuẩn có số liệu, kỹ thuật xử lý từ chối và chốt hành động. Dùng khi chuẩn bị đội ngũ tư vấn cho ngày hội, livestream, tư vấn tại trường THPT, hotline/fanpage mùa tuyển sinh. Bản riêng cho Trường Quốc tế – ĐHQGHN (VNU-IS).</t>
  </si>
  <si>
    <t xml:space="preserve">vnuis-ts-ra-soat-nhat-quan-thong-tin</t>
  </si>
  <si>
    <t xml:space="preserve">Rà soát tính nhất quán của thông tin tuyển sinh giữa brochure, nội dung website, hỏi đáp, thông báo và quy chế của Trường Quốc tế – ĐHQGHN: số chương trình, chỉ tiêu, phương thức, học phí, học bổng, điều kiện tiếng Anh, mã chương trình, mốc thời gian, tên chương trình Việt và Anh. Dùng khi chuẩn bị phát hành tài liệu tuyển sinh hoặc cập nhật website.</t>
  </si>
  <si>
    <t xml:space="preserve">vnuis-ts-soan-de-an-tuyen-sinh</t>
  </si>
  <si>
    <t xml:space="preserve">Soạn đề án tuyển sinh đại học hằng năm của trường: xác định chỉ tiêu theo năng lực đào tạo, liệt kê phương thức xét tuyển, tổ hợp môn, ngưỡng đảm bảo chất lượng đầu vào từng ngành, chính sách ưu tiên, lệ phí và tiến độ. Dùng khi Phòng Đào tạo xây dựng đề án tuyển sinh trình Hiệu trưởng/Bộ GD&amp;ĐT đầu năm. Bản riêng cho Trường Quốc tế – ĐHQGHN (VNU-IS).</t>
  </si>
  <si>
    <t xml:space="preserve">vnuis-ts-soan-thong-bao-tuyen-sinh-dai-hoc</t>
  </si>
  <si>
    <t xml:space="preserve">Soạn thông báo tuyển sinh đại học theo từng phương thức xét tuyển, rút trích từ đề án đã duyệt: đối tượng, điều kiện, hồ sơ, thời gian, lệ phí, địa chỉ nộp và link đăng ký. Dùng khi Phòng Đào tạo cần công bố thông tin tuyển sinh từng đợt/phương thức trên website và các kênh truyền thông. Không dùng cho tuyển sinh thạc sĩ/tiến sĩ (dùng vnuis-sdh-soan-thong-bao-tuyen-sinh). Bản VNU-IS.</t>
  </si>
  <si>
    <t xml:space="preserve">vnuis-ts-theo-doi-pheu-thi-sinh</t>
  </si>
  <si>
    <t xml:space="preserve">Theo dõi thí sinh theo phễu tuyển sinh: nhóm thí sinh tiềm năng theo giai đoạn (biết đến → quan tâm → nộp hồ sơ → trúng tuyển → nhập học), danh mục kiểm hồ sơ, báo cáo tỉ lệ chuyển đổi. Dùng trong suốt chiến dịch tuyển sinh. Dùng khi trong chiến dịch tuyển sinh cần quản lý thí sinh tiềm năng theo từng giai đoạn phễu. Bản riêng cho Trường Quốc tế – ĐHQGHN (VNU-IS).</t>
  </si>
  <si>
    <t xml:space="preserve">tt</t>
  </si>
  <si>
    <t xml:space="preserve">Truyền thông, thương hiệu, sự kiện</t>
  </si>
  <si>
    <t xml:space="preserve">vnuis-tt-bo-tai-lieu-bao-chi-su-kien</t>
  </si>
  <si>
    <t xml:space="preserve">Soạn bộ press kit sự kiện: thông cáo báo chí, fact sheet, tiểu sử diễn giả, ảnh, thông tin liên hệ báo chí. Dùng trước và trong các sự kiện lớn của trường. Dùng khi tổ chức sự kiện cần mời báo chí đưa tin. Bản riêng cho Trường Quốc tế – ĐHQGHN (VNU-IS).</t>
  </si>
  <si>
    <t xml:space="preserve">vnuis-tt-dich-song-ngu-va-thuat-ngu</t>
  </si>
  <si>
    <t xml:space="preserve">Dịch Việt–Anh (và ngược lại) văn bản của trường, kiểm soát thuật ngữ theo glossary (kể cả danh sách không-dịch), đối chiếu số liệu/tên riêng giữa hai bản → bản song ngữ + vấn đề list. Dùng chung cho MOU, thông báo tuyển sinh, văn bằng, website... Dùng khi cần bản tiếng Anh (hoặc tiếng Việt) của văn bản trường học. Bản riêng cho Trường Quốc tế – ĐHQGHN (VNU-IS).</t>
  </si>
  <si>
    <t xml:space="preserve">vnuis-tt-ke-hoach-hoat-dong-bao-chi</t>
  </si>
  <si>
    <t xml:space="preserve">Lập kế hoạch hoạt động báo chí của cơ quan báo chí thuộc VNU-IS (báo in, tạp chí nội bộ, bản tin): số kỳ xuất bản, chuyên mục, phân công biên tập, kế hoạch bài vở theo năm. Dùng cho tòa soạn/ban biên tập khi xây dựng kế hoạch năm. Bản riêng cho Trường Quốc tế – ĐHQGHN (VNU-IS).</t>
  </si>
  <si>
    <t xml:space="preserve">vnuis-tt-ke-hoach-quan-tri-thuong-hieu</t>
  </si>
  <si>
    <t xml:space="preserve">Lập kế hoạch quản trị thương hiệu VNU-IS: định vị thương hiệu, chuẩn hóa bộ nhận diện, giám sát hình ảnh và kịch bản xử lý khủng hoảng truyền thông. Dùng khi Phòng Truyền thông và Tuyển sinh (hoặc đơn vị phụ trách thương hiệu) xây dựng kế hoạch năm/quý. Bản riêng cho Trường Quốc tế – ĐHQGHN (VNU-IS).</t>
  </si>
  <si>
    <t xml:space="preserve">vnuis-tt-ke-hoach-to-chuc-su-kien</t>
  </si>
  <si>
    <t xml:space="preserve">Kế hoạch tổ chức sự kiện trong VNU-IS: timeline ngược, danh mục kiểm theo giai đoạn, phân công RACI, kịch bản run-of-show chi tiết, dự toán và mẫu báo cáo sau sự kiện. Dùng chung cho mọi đơn vị. Dùng khi tổ chức hội nghị, hội thảo, lễ khai giảng/bế giảng, ngày hội việc làm, lễ kỷ niệm. Bản riêng cho Trường Quốc tế – ĐHQGHN (VNU-IS).</t>
  </si>
  <si>
    <t xml:space="preserve">vnuis-tt-ke-hoach-truyen-thong-nam</t>
  </si>
  <si>
    <t xml:space="preserve">Lập kế hoạch truyền thông năm của VNU-IS: mục tiêu, thông điệp chủ đạo, kênh truyền thông, lịch chiến dịch theo đợt tuyển sinh/sự kiện, chỉ số đánh giá đo lường. Dùng khi xây dựng kế hoạch năm hoặc điều chỉnh giữa năm. Bản riêng cho Trường Quốc tế – ĐHQGHN (VNU-IS).</t>
  </si>
  <si>
    <t xml:space="preserve">vnuis-tt-kich-ban-khanh-tiet</t>
  </si>
  <si>
    <t xml:space="preserve">Xây dựng kịch bản lễ tân, khánh tiết cho sự kiện của VNU-IS (đón tiếp đại biểu, điều hành chương trình theo timeline, phân công hậu cần). Dùng khi Phòng TC&amp;QT (văn phòng – văn thư) tổ chức lễ khai giảng, kỷ niệm, hội nghị, đón đoàn khách. Bản riêng cho Trường Quốc tế – ĐHQGHN (VNU-IS).</t>
  </si>
  <si>
    <t xml:space="preserve">vnuis-tt-kich-ban-video</t>
  </si>
  <si>
    <t xml:space="preserve">Viết kịch bản video truyền thông từng cảnh: hình ảnh, lời thoại/voice-over, âm thanh, thời lượng, yêu cầu quay dựng. Dùng cho video giới thiệu trường, tuyển sinh, sự kiện. Bản riêng cho Trường Quốc tế – ĐHQGHN (VNU-IS).</t>
  </si>
  <si>
    <t xml:space="preserve">vnuis-tt-lap-lich-noi-dung</t>
  </si>
  <si>
    <t xml:space="preserve">Lập nội dung calendar truyền thông theo tuần/tháng: chủ đề, định dạng, kênh đăng, người phụ trách, trạng thái. Dùng để vận hành sản xuất nội dung đều đặn, đúng chiến dịch. Bản riêng cho Trường Quốc tế – ĐHQGHN (VNU-IS).</t>
  </si>
  <si>
    <t xml:space="preserve">vnuis-tt-phan-tich-chi-so-truyen-thong</t>
  </si>
  <si>
    <t xml:space="preserve">Phân tích chỉ số truyền thông của Trường Quốc tế – ĐHQGHN từ file xuất của các kênh (website, mạng xã hội, email): chuẩn hóa chỉ số, so theo kỳ, theo kênh và theo chiến dịch, nêu điểm bất thường. Dùng khi Phòng Truyền thông và Tuyển sinh cần báo cáo tuần, tháng hoặc đánh giá chiến dịch tuyển sinh.</t>
  </si>
  <si>
    <t xml:space="preserve">vnuis-tt-viet-bai-truyen-thong</t>
  </si>
  <si>
    <t xml:space="preserve">Viết bài truyền thông cho website/fanpage theo brand voice trẻ trung, học thuật, kiểm chứng nội bộ số liệu, tên và trích dẫn. Dùng cho tin tức, gương sinh viên, thông tin tuyển sinh. Bản riêng cho Trường Quốc tế – ĐHQGHN (VNU-IS).</t>
  </si>
  <si>
    <t xml:space="preserve">vp</t>
  </si>
  <si>
    <t xml:space="preserve">Văn phòng – văn bản, họp, lịch, báo cáo điều hành</t>
  </si>
  <si>
    <t xml:space="preserve">vnuis-vp-bao-cao-tong-ket-nam-hoc-toan-truong</t>
  </si>
  <si>
    <t xml:space="preserve">Tổng hợp báo cáo tổng kết năm học toàn VNU-IS từ báo cáo của các phòng ban, khoa (đào tạo, NCKH, Đào tạo (công tác sinh viên), TC&amp;QT (nhân sự), tài chính, CSVC, HTQT). Dùng khi Văn phòng / Phòng TC&amp;QT (văn phòng – văn thư) tổng hợp báo cáo tổng kết năm học. Bản riêng cho Trường Quốc tế – ĐHQGHN (VNU-IS).</t>
  </si>
  <si>
    <t xml:space="preserve">vnuis-vp-bao-cao-tong-ket-van-phong</t>
  </si>
  <si>
    <t xml:space="preserve">Soạn báo cáo tổng kết công tác văn phòng định kỳ của Phòng TC&amp;QT (văn phòng – văn thư) (văn thư, lễ tân, quản trị hành chính, thi đua). Dùng khi tổng kết công tác văn phòng theo quý / năm. Bản riêng cho Trường Quốc tế – ĐHQGHN (VNU-IS).</t>
  </si>
  <si>
    <t xml:space="preserve">vnuis-vp-chuan-bi-hop-theo-doi-nhiem-vu</t>
  </si>
  <si>
    <t xml:space="preserve">Chuẩn bị họp (tóm tắt tài liệu thành bản tóm tắt chương trình họp) và sau họp trích kết luận, tách action theo owner/hạn chót, lập bảng theo dõi đến khi đóng việc. Dùng khi chuẩn bị hoặc kết thúc một cuộc họp trong trường (giao ban, hội đồng, họp đơn vị). Bản riêng cho Trường Quốc tế – ĐHQGHN (VNU-IS).</t>
  </si>
  <si>
    <t xml:space="preserve">vnuis-vp-hop-nhat-bao-cao-don-vi</t>
  </si>
  <si>
    <t xml:space="preserve">Hợp nhất báo cáo của nhiều đơn vị theo một mẫu chung: đọc loạt file, đối chiếu cột trường dữ liệu, chuẩn hóa, loại trùng lặp, lập gap nhật ký số liệu thiếu → báo cáo tổng hợp + phụ lục liên kết nguồn từng con số. Dùng khi hợp nhất báo cáo nhiều đơn vị, như báo cáo 3 công khai, kiểm định, tổng kết năm học... Bản riêng cho Trường Quốc tế – ĐHQGHN (VNU-IS).</t>
  </si>
  <si>
    <t xml:space="preserve">vnuis-vp-ke-hoach-nam-hoc-toan-truong</t>
  </si>
  <si>
    <t xml:space="preserve">Xây dựng kế hoạch năm học toàn VNU-IS (nhiệm vụ trọng tâm, chỉ tiêu các mảng, phân công đơn vị, tiến độ). Dùng khi Văn phòng tổng hợp kế hoạch năm học mới từ kế hoạch của các đơn vị. Không dùng cho kế hoạch đào tạo của phòng Đào tạo (dùng vnuis-dt-ke-hoach-dao-tao-nam-hoc). Bản riêng cho Trường Quốc tế – ĐHQGHN (VNU-IS).</t>
  </si>
  <si>
    <t xml:space="preserve">vnuis-vp-lap-lich-cong-tac-tuan</t>
  </si>
  <si>
    <t xml:space="preserve">Tổng hợp lịch công tác tuần của Ban Giám hiệu từ đầu việc các đơn vị gửi về, sắp xếp theo thời gian, chuẩn hóa và xuất bảng lịch tuần. Dùng khi Phòng TC&amp;QT (văn phòng – văn thư) lập lịch công tác tuần của Ban Giám hiệu. Bản riêng cho Trường Quốc tế – ĐHQGHN (VNU-IS).</t>
  </si>
  <si>
    <t xml:space="preserve">vnuis-vp-lap-phieu-trinh-ky</t>
  </si>
  <si>
    <t xml:space="preserve">Lập phiếu trình ký văn bản trình lãnh đạo VNU-IS (tóm tắt nội dung, ý kiến đề xuất của đơn vị soạn thảo, phần ý kiến lãnh đạo). Dùng khi đơn vị trình văn bản, hồ sơ lên Hiệu trưởng / Phó Hiệu trưởng ký duyệt. Bản riêng cho Trường Quốc tế – ĐHQGHN (VNU-IS).</t>
  </si>
  <si>
    <t xml:space="preserve">vnuis-vp-quan-ly-so-van-ban-di-den</t>
  </si>
  <si>
    <t xml:space="preserve">Xây dựng mẫu sổ đăng ký văn bản đi / văn bản đến và quy trình quản lý, theo dõi xử lý văn bản trong VNU-IS (tiếp nhận – đăng ký – trình – theo dõi – lưu trữ). Dùng khi Phòng TC&amp;QT (văn phòng – văn thư) chuẩn hóa công tác văn thư. Bản riêng cho Trường Quốc tế – ĐHQGHN (VNU-IS).</t>
  </si>
  <si>
    <t xml:space="preserve">vnuis-vp-ra-soat-du-thao-van-ban</t>
  </si>
  <si>
    <t xml:space="preserve">Rà soát dự thảo văn bản hành chính trước khi trình ký: kiểm tra thể thức theo Nghị định 30/2020/NĐ-CP, logic nội dung, thuật ngữ, số liệu → bảng lỗi chi tiết + bản sạch đã hiệu đính. Dùng chung cho mọi loại văn bản, mọi phòng ban/khoa trong trường. Dùng khi trước khi trình lãnh đạo ký bất kỳ văn bản nào. Bản riêng cho Trường Quốc tế – ĐHQGHN (VNU-IS).</t>
  </si>
  <si>
    <t xml:space="preserve">vnuis-vp-soan-bien-ban-hop</t>
  </si>
  <si>
    <t xml:space="preserve">Soạn biên bản cuộc họp / hội nghị / hội đồng từ ghi chép, gồm thành phần, diễn biến và kết luận. Dùng cho giao ban, họp hội đồng, họp đơn vị. Bản riêng cho Trường Quốc tế – ĐHQGHN (VNU-IS).</t>
  </si>
  <si>
    <t xml:space="preserve">vnuis-vp-soan-cong-van</t>
  </si>
  <si>
    <t xml:space="preserve">Soạn công văn đi của VNU-IS đúng thể thức Nghị định 30/2020/NĐ-CP về công tác văn thư. Dùng khi cần trao đổi, phúc đáp, đề nghị, thông báo với cơ quan, tổ chức, cá nhân ngoài trường hoặc giữa các đơn vị trong trường. Bản riêng cho Trường Quốc tế – ĐHQGHN (VNU-IS).</t>
  </si>
  <si>
    <t xml:space="preserve">vnuis-vp-soan-giay-moi</t>
  </si>
  <si>
    <t xml:space="preserve">Soạn giấy mời họp, hội nghị, lễ kỷ niệm, sự kiện của VNU-IS (thành phần, thời gian, địa điểm, chương trình). Dùng khi đơn vị tổ chức sự kiện cần gửi giấy mời trang trọng. Bản riêng cho Trường Quốc tế – ĐHQGHN (VNU-IS).</t>
  </si>
  <si>
    <t xml:space="preserve">vnuis-vp-soan-ke-hoach-cong-tac</t>
  </si>
  <si>
    <t xml:space="preserve">Soạn kế hoạch công tác tháng / quý / năm của đơn vị trong VNU-IS (mục đích, nhiệm vụ chi tiết, phân công, thời gian, kinh phí). Dùng khi phòng ban, khoa lập kế hoạch công tác định kỳ. Bản riêng cho Trường Quốc tế – ĐHQGHN (VNU-IS).</t>
  </si>
  <si>
    <t xml:space="preserve">vnuis-vp-soan-quyet-dinh-hanh-chinh</t>
  </si>
  <si>
    <t xml:space="preserve">Soạn quyết định hành chính của VNU-IS đúng thể thức Nghị định 30/2020/NĐ-CP (thành lập tổ chức, ban hành văn bản, điều động, khen thưởng...). Dùng khi cần ban hành quyết định cá biệt của Hiệu trưởng / cấp có thẩm quyền (C6). Không dùng cho quyết định khen thưởng/kỷ luật viên chức, người lao động (dùng vnuis-nhansu-soan-quyet-dinh-khen-thuong-ky-luat-vien-chuc). Bản VNU-IS.</t>
  </si>
  <si>
    <t xml:space="preserve">vnuis-vp-soan-thong-bao</t>
  </si>
  <si>
    <t xml:space="preserve">Soạn thông báo nội bộ của VNU-IS (lịch nghỉ lễ, cuộc họp, quy định mới, tuyển dụng, học bổng...), ngắn gọn, rõ đối tượng, rõ thời hạn. Dùng khi cần thông tin chính thức tới toàn trường hoặc một nhóm đối tượng. Không dùng cho văn bản chỉ đạo/quy phạm (dùng vnuis-vp-soan-quyet-dinh-hanh-chinh) hay thư mời (dùng vnuis-vp-soan-giay-moi). Bản riêng cho Trường Quốc tế – ĐHQGHN (VNU-IS).</t>
  </si>
  <si>
    <t xml:space="preserve">vnuis-vp-soan-to-trinh</t>
  </si>
  <si>
    <t xml:space="preserve">Soạn tờ trình xin chủ trương, phê duyệt của Ban Giám hiệu / cấp có thẩm quyền (C6) / cấp trên. Dùng cho mọi đề xuất cần được phê duyệt trước khi triển khai trong VNU-IS. Bản riêng cho Trường Quốc tế – ĐHQGHN (VNU-IS).</t>
  </si>
  <si>
    <t xml:space="preserve">vnuis-vp-tom-tat-trinh-lanh-dao</t>
  </si>
  <si>
    <t xml:space="preserve">Tóm tắt nhiều nguồn (báo cáo, tờ trình, bảng số liệu) thành bản tóm tắt cho lãnh đạo 1–2 trang kèm decision memo và bảng \"vấn đề cần quyết định\", giúp lãnh đạo nắm nhanh và ra quyết định. Dùng khi lãnh đạo cần nắm nhanh một vấn đề từ nhiều nguồn để ra quyết định (mọi cấp, mọi lĩnh vực trong trường). Bản riêng cho Trường Quốc tế – ĐHQGHN (VNU-IS).</t>
  </si>
  <si>
    <t xml:space="preserve">Số skill</t>
  </si>
  <si>
    <t xml:space="preserve">Số từ SKILL.md (TB)</t>
  </si>
  <si>
    <t xml:space="preserve">Ký tự nạp mỗi lần (TB)</t>
  </si>
  <si>
    <t xml:space="preserve">Số mô tả bắt đầu bằng "Dùng khi"</t>
  </si>
  <si>
    <t xml:space="preserve">Số mô tả không có cụm "Dùng khi"</t>
  </si>
  <si>
    <t xml:space="preserve">Số skill đã thử nghiệm</t>
  </si>
  <si>
    <t xml:space="preserve">Tổng / trung vị</t>
  </si>
  <si>
    <t xml:space="preserve">Ghi chú: dòng cuối lấy tổng số skill và trung vị (median) toàn bộ 167 skill; các dòng nhóm là trung bình.</t>
  </si>
  <si>
    <t xml:space="preserve">#</t>
  </si>
  <si>
    <t xml:space="preserve">Hạng mục</t>
  </si>
  <si>
    <t xml:space="preserve">Số liệu</t>
  </si>
  <si>
    <t xml:space="preserve">Mức</t>
  </si>
  <si>
    <t xml:space="preserve">Vì sao quan trọng (theo hướng dẫn writing-skills)</t>
  </si>
  <si>
    <t xml:space="preserve">Đề xuất</t>
  </si>
  <si>
    <t xml:space="preserve">Mô tả skill (description)</t>
  </si>
  <si>
    <t xml:space="preserve">Cao</t>
  </si>
  <si>
    <t xml:space="preserve">Mô tả nên chỉ nêu tình huống kích hoạt, không tóm tắt skill làm gì; tóm tắt có thể khiến mô hình làm theo mô tả mà bỏ qua nội dung skill. Câu đuôi giống nhau ở mọi skill không giúp phân biệt skill.</t>
  </si>
  <si>
    <t xml:space="preserve">Viết lại 167 mô tả theo dạng "Dùng khi…" (tình huống, đơn vị, loại văn bản, từ khóa người dùng hay gõ); bỏ câu đuôi chung; bỏ liệt kê nội dung đầu ra.</t>
  </si>
  <si>
    <t xml:space="preserve">Độ dài SKILL.md</t>
  </si>
  <si>
    <t xml:space="preserve">Hướng dẫn đặt mục tiêu dưới 500 từ cho skill thường dùng. Từ tiếng Việt tính theo âm tiết nên chỉ so sánh tương đối, nhưng cả 167 skill đều vượt xa.</t>
  </si>
  <si>
    <t xml:space="preserve">Tách phần ít khi dùng (mẫu, bảng tra, căn cứ) sang file tham chiếu đọc khi cần; giữ SKILL.md ở khung quy trình + quy tắc cốt lõi.</t>
  </si>
  <si>
    <t xml:space="preserve">Khối nạp mỗi lần chạy</t>
  </si>
  <si>
    <t xml:space="preserve">Mô hình nhỏ (GLM/DeepSeek/Qwen Flash) nhạy với ngữ cảnh dài; chi phí lặp lại ở mọi lượt chạy.</t>
  </si>
  <si>
    <t xml:space="preserve">Dùng bản biên dịch gọn (runtime/compiled, trung vị khoảng 15.000 ký tự) làm bản chạy chính; chỉ nạp tham chiếu khi bước cần đến.</t>
  </si>
  <si>
    <t xml:space="preserve">Vị trí mục "Khi nào dùng"</t>
  </si>
  <si>
    <t xml:space="preserve">Trung bình</t>
  </si>
  <si>
    <t xml:space="preserve">Mô hình đọc mô tả rồi mở skill; điều kiện dùng nằm sau nhiều khối chung làm loãng thông tin định tuyến.</t>
  </si>
  <si>
    <t xml:space="preserve">Đưa "Khi nào dùng" và "Khi nào KHÔNG dùng" lên đầu thân skill; dồn 4 khối chung xuống cuối hoặc sang tham chiếu.</t>
  </si>
  <si>
    <t xml:space="preserve">Mục bắt buộc còn thiếu</t>
  </si>
  <si>
    <t xml:space="preserve">0/167 có "Khi nào KHÔNG dùng"; 0/167 có "Lỗi thường gặp"; 0/167 có ví dụ làm mẫu (kiểm theo đầu dòng/tiêu đề)</t>
  </si>
  <si>
    <t xml:space="preserve">Skill nhiều chức năng gần nhau cần ranh giới rõ; ví dụ giúp mô hình bám đúng hình dạng đầu ra.</t>
  </si>
  <si>
    <t xml:space="preserve">Thêm 3–5 dòng "Khi nào KHÔNG dùng" trỏ sang skill đúng; thêm một ví dụ đầu vào → đầu ra rút gọn cho nhóm skill ưu tiên.</t>
  </si>
  <si>
    <t xml:space="preserve">Nội dung lặp giữa các skill</t>
  </si>
  <si>
    <t xml:space="preserve">13% số từ nằm trong mục giống hệt ở ≥50 skill, 17,5% ở ≥10 skill; boi-canh-vnuis.md giống hệt ở 167 bản (9.612 ký tự); quy-tac-chung.md chỉ có 2 biến thể (117 + 48 bản) + 2 bản lẻ; khoảng 72% dòng của quy-cach-dau-ra.md xuất hiện ở ≥100 skill</t>
  </si>
  <si>
    <t xml:space="preserve">Sửa một thông tin (ví dụ khi có đáp án C1) phải sửa 167 chỗ; dễ lệch phiên bản. Lưu ý: mỗi skill đóng gói độc lập nên có thể là chủ ý.</t>
  </si>
  <si>
    <t xml:space="preserve">Giữ một nguồn gốc duy nhất và dựng lại các bản bằng compile.py; hoặc tách bối cảnh VNU-IS thành một skill nền và các skill khác gọi theo tên (REQUIRED BACKGROUND).</t>
  </si>
  <si>
    <t xml:space="preserve">Lưu đồ mermaid</t>
  </si>
  <si>
    <t xml:space="preserve">167/167 skill có lưu đồ; 96 skill không có điểm rẽ nhánh, 64 skill có 1, 7 skill có 2; chiếm trung bình 3,8% dung lượng</t>
  </si>
  <si>
    <t xml:space="preserve">Thấp</t>
  </si>
  <si>
    <t xml:space="preserve">Hướng dẫn chỉ nên dùng lưu đồ cho quyết định không hiển nhiên; quy trình tuần tự nên là danh sách đánh số. Lưu đồ lặp lại các bước đã có.</t>
  </si>
  <si>
    <t xml:space="preserve">Giữ lưu đồ ở skill có rẽ nhánh thật; bỏ ở phần còn lại, hoặc tách ra file riêng cho người đọc.</t>
  </si>
  <si>
    <t xml:space="preserve">Ước tính thời gian (⏱)</t>
  </si>
  <si>
    <t xml:space="preserve">Con số chưa đo có thể bị mô hình trình bày như sự thật khi tư vấn cho người dùng.</t>
  </si>
  <si>
    <t xml:space="preserve">Bỏ khỏi thân skill hoặc chuyển sang tài liệu quản lý; chỉ đưa lại sau khi đo thực tế.</t>
  </si>
  <si>
    <t xml:space="preserve">Kiểm thử</t>
  </si>
  <si>
    <t xml:space="preserve">Nguyên tắc cốt lõi của writing-skills: chưa thấy mô hình sai khi không có skill thì chưa biết skill dạy đúng điều gì.</t>
  </si>
  <si>
    <t xml:space="preserve">Với mỗi skill ưu tiên: chạy một lượt không có skill để lấy mức nền, rồi chạy có skill, 5 lượt mỗi bên, trên mô hình thật; ghi lại chỗ sai nguyên văn.</t>
  </si>
  <si>
    <t xml:space="preserve">Chồng chéo chức năng</t>
  </si>
  <si>
    <t xml:space="preserve">16 cặp mô tả giống nhau từ 0,35 trở lên (xem sheet Cặp giống nhau); chỉ số đo theo tập từ, mang tính gợi ý</t>
  </si>
  <si>
    <t xml:space="preserve">Hai skill gần nhau làm bộ chọn skill dễ chọn nhầm.</t>
  </si>
  <si>
    <t xml:space="preserve">Thêm "Khi nào KHÔNG dùng" vào từng skill trong cặp, nêu skill thay thế.</t>
  </si>
  <si>
    <t xml:space="preserve">Từ tiếng Anh còn sót</t>
  </si>
  <si>
    <t xml:space="preserve">Human gate 433 lượt; Workflow 167; guardrails 57; tracker 35; risk 10; workplan 9; baseline 9; checklist 8; trong mô tả có 4 skill (tracker, risk, lessons learned, brand voice, calendar)</t>
  </si>
  <si>
    <t xml:space="preserve">Gói tự nêu đã thay thế từ tiếng Anh; người dùng không chuyên kỹ thuật sẽ khó hiểu. "Human gate" là cách gọi cố ý.</t>
  </si>
  <si>
    <t xml:space="preserve">Thay "tracker/risk/lessons learned/calendar" bằng từ tiếng Việt; chốt một cách gọi cho "Human gate" (ví dụ: bước người duyệt).</t>
  </si>
  <si>
    <t xml:space="preserve">Trạng thái dự thảo</t>
  </si>
  <si>
    <t xml:space="preserve">167/167 chưa chỉ định người phê duyệt nghiệp vụ; 165/167 ở trạng thái pháp lý "requires-applicability-and-fulltext-check"; 167/167 ghi chưa có dữ liệu khảo sát thực tế</t>
  </si>
  <si>
    <t xml:space="preserve">Thông tin</t>
  </si>
  <si>
    <t xml:space="preserve">Gói tự nêu rõ là bản chờ khảo sát; không phải lỗi, nhưng không nên coi là bản dùng chính thức.</t>
  </si>
  <si>
    <t xml:space="preserve">Cập nhật theo CAU_HOI_CAN_XAC_NHAN.md sau mỗi phiên khảo sát; chốt người phê duyệt trước khi bàn giao.</t>
  </si>
  <si>
    <t xml:space="preserve">Điểm đã tốt</t>
  </si>
  <si>
    <t xml:space="preserve">Tên skill khớp tên thư mục 167/167, chỉ gồm a-z, 0-9, gạch nối; manifest khớp 167/167; phiên bản 0.4.2 thống nhất; 0 liên kết hỏng; 167/167 có agents/openai.yaml; mô tả dài 189–399 ký tự (dưới 500)</t>
  </si>
  <si>
    <t xml:space="preserve">Tốt</t>
  </si>
  <si>
    <t xml:space="preserve">Đạt các mục tên, frontmatter, độ dài mô tả trong checklist.</t>
  </si>
  <si>
    <t xml:space="preserve">Giữ nguyên.</t>
  </si>
  <si>
    <t xml:space="preserve">Nguồn số liệu: các cột công thức lấy từ sheet "Danh sách"; các số còn lại do script kiểm tra tự động đọc 167 file SKILL.md và thư mục references của gói v0.4.2 ngày 11/10/2026, đối chiếu tay một số skill mẫu. Mức độ ưu tiên là đánh giá của người kiểm tra.</t>
  </si>
  <si>
    <t xml:space="preserve">Độ giống mô tả (0–1)</t>
  </si>
  <si>
    <t xml:space="preserve">Skill 1</t>
  </si>
  <si>
    <t xml:space="preserve">Skill 2</t>
  </si>
  <si>
    <t xml:space="preserve">Chỉ số = số từ chung / số từ khác nhau trong hai mô tả (đã bỏ từ phổ biến). Chỉ là gợi ý để rà soát tay, không kết luận hai skill trùng.</t>
  </si>
</sst>
</file>

<file path=xl/styles.xml><?xml version="1.0" encoding="utf-8"?>
<styleSheet xmlns="http://schemas.openxmlformats.org/spreadsheetml/2006/main">
  <numFmts count="2">
    <numFmt numFmtId="164" formatCode="General"/>
    <numFmt numFmtId="165" formatCode="#,##0"/>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26"/>
    <col collapsed="false" customWidth="true" hidden="false" outlineLevel="0" max="4" min="4" style="0" width="46"/>
    <col collapsed="false" customWidth="true" hidden="false" outlineLevel="0" max="5" min="5" style="0" width="12"/>
    <col collapsed="false" customWidth="true" hidden="false" outlineLevel="0" max="6" min="6" style="0" width="11"/>
    <col collapsed="false" customWidth="true" hidden="false" outlineLevel="0" max="7" min="7" style="0" width="12"/>
    <col collapsed="false" customWidth="true" hidden="false" outlineLevel="0" max="8" min="8" style="0" width="16"/>
    <col collapsed="false" customWidth="true" hidden="false" outlineLevel="0" max="9" min="9" style="0" width="14"/>
    <col collapsed="false" customWidth="true" hidden="false" outlineLevel="0" max="10" min="10" style="0" width="11"/>
    <col collapsed="false" customWidth="true" hidden="false" outlineLevel="0" max="11" min="11" style="0" width="12"/>
    <col collapsed="false" customWidth="true" hidden="false" outlineLevel="0" max="12" min="12" style="0" width="18"/>
    <col collapsed="false" customWidth="true" hidden="false" outlineLevel="0" max="13" min="13" style="0" width="14"/>
    <col collapsed="false" customWidth="true" hidden="false" outlineLevel="0" max="14" min="14" style="0" width="8"/>
    <col collapsed="false" customWidth="true" hidden="false" outlineLevel="0" max="15" min="15" style="0" width="9"/>
    <col collapsed="false" customWidth="true" hidden="false" outlineLevel="0" max="16" min="16" style="0" width="14"/>
    <col collapsed="false" customWidth="true" hidden="false" outlineLevel="0" max="17" min="17" style="0" width="12"/>
    <col collapsed="false" customWidth="true" hidden="false" outlineLevel="0" max="18" min="18" style="0" width="90"/>
  </cols>
  <sheetData>
    <row r="1" customFormat="false" ht="57.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46.25" hidden="false" customHeight="false" outlineLevel="0" collapsed="false">
      <c r="A2" s="2" t="n">
        <v>1</v>
      </c>
      <c r="B2" s="2" t="s">
        <v>18</v>
      </c>
      <c r="C2" s="3" t="s">
        <v>19</v>
      </c>
      <c r="D2" s="2" t="s">
        <v>20</v>
      </c>
      <c r="E2" s="2" t="s">
        <v>21</v>
      </c>
      <c r="F2" s="2" t="s">
        <v>22</v>
      </c>
      <c r="G2" s="2" t="n">
        <v>326</v>
      </c>
      <c r="H2" s="2" t="s">
        <v>22</v>
      </c>
      <c r="I2" s="2" t="s">
        <v>23</v>
      </c>
      <c r="J2" s="2" t="n">
        <v>2246</v>
      </c>
      <c r="K2" s="2" t="n">
        <v>11319</v>
      </c>
      <c r="L2" s="2" t="n">
        <v>37988</v>
      </c>
      <c r="M2" s="2" t="n">
        <v>41</v>
      </c>
      <c r="N2" s="2" t="n">
        <v>4</v>
      </c>
      <c r="O2" s="2" t="n">
        <v>5</v>
      </c>
      <c r="P2" s="2" t="n">
        <v>1</v>
      </c>
      <c r="Q2" s="2" t="n">
        <v>3</v>
      </c>
      <c r="R2" s="3" t="s">
        <v>24</v>
      </c>
    </row>
    <row r="3" customFormat="false" ht="35.05" hidden="false" customHeight="false" outlineLevel="0" collapsed="false">
      <c r="A3" s="2" t="n">
        <v>2</v>
      </c>
      <c r="B3" s="2" t="s">
        <v>18</v>
      </c>
      <c r="C3" s="3" t="s">
        <v>19</v>
      </c>
      <c r="D3" s="2" t="s">
        <v>25</v>
      </c>
      <c r="E3" s="2" t="s">
        <v>21</v>
      </c>
      <c r="F3" s="2" t="s">
        <v>22</v>
      </c>
      <c r="G3" s="2" t="n">
        <v>284</v>
      </c>
      <c r="H3" s="2" t="s">
        <v>22</v>
      </c>
      <c r="I3" s="2" t="s">
        <v>23</v>
      </c>
      <c r="J3" s="2" t="n">
        <v>2563</v>
      </c>
      <c r="K3" s="2" t="n">
        <v>12759</v>
      </c>
      <c r="L3" s="2" t="n">
        <v>36466</v>
      </c>
      <c r="M3" s="2" t="n">
        <v>39</v>
      </c>
      <c r="N3" s="2" t="n">
        <v>7</v>
      </c>
      <c r="O3" s="2" t="n">
        <v>8</v>
      </c>
      <c r="P3" s="2" t="n">
        <v>0</v>
      </c>
      <c r="Q3" s="2" t="n">
        <v>3</v>
      </c>
      <c r="R3" s="3" t="s">
        <v>26</v>
      </c>
    </row>
    <row r="4" customFormat="false" ht="46.25" hidden="false" customHeight="false" outlineLevel="0" collapsed="false">
      <c r="A4" s="2" t="n">
        <v>3</v>
      </c>
      <c r="B4" s="2" t="s">
        <v>18</v>
      </c>
      <c r="C4" s="3" t="s">
        <v>19</v>
      </c>
      <c r="D4" s="2" t="s">
        <v>27</v>
      </c>
      <c r="E4" s="2" t="s">
        <v>21</v>
      </c>
      <c r="F4" s="2" t="s">
        <v>22</v>
      </c>
      <c r="G4" s="2" t="n">
        <v>351</v>
      </c>
      <c r="H4" s="2" t="s">
        <v>22</v>
      </c>
      <c r="I4" s="2" t="s">
        <v>23</v>
      </c>
      <c r="J4" s="2" t="n">
        <v>2507</v>
      </c>
      <c r="K4" s="2" t="n">
        <v>12426</v>
      </c>
      <c r="L4" s="2" t="n">
        <v>35183</v>
      </c>
      <c r="M4" s="2" t="n">
        <v>40</v>
      </c>
      <c r="N4" s="2" t="n">
        <v>5</v>
      </c>
      <c r="O4" s="2" t="n">
        <v>6</v>
      </c>
      <c r="P4" s="2" t="n">
        <v>0</v>
      </c>
      <c r="Q4" s="2" t="n">
        <v>9</v>
      </c>
      <c r="R4" s="3" t="s">
        <v>28</v>
      </c>
    </row>
    <row r="5" customFormat="false" ht="35.05" hidden="false" customHeight="false" outlineLevel="0" collapsed="false">
      <c r="A5" s="2" t="n">
        <v>4</v>
      </c>
      <c r="B5" s="2" t="s">
        <v>18</v>
      </c>
      <c r="C5" s="3" t="s">
        <v>19</v>
      </c>
      <c r="D5" s="2" t="s">
        <v>29</v>
      </c>
      <c r="E5" s="2" t="s">
        <v>21</v>
      </c>
      <c r="F5" s="2" t="s">
        <v>22</v>
      </c>
      <c r="G5" s="2" t="n">
        <v>226</v>
      </c>
      <c r="H5" s="2" t="s">
        <v>22</v>
      </c>
      <c r="I5" s="2" t="s">
        <v>23</v>
      </c>
      <c r="J5" s="2" t="n">
        <v>2297</v>
      </c>
      <c r="K5" s="2" t="n">
        <v>11405</v>
      </c>
      <c r="L5" s="2" t="n">
        <v>35406</v>
      </c>
      <c r="M5" s="2" t="n">
        <v>39</v>
      </c>
      <c r="N5" s="2" t="n">
        <v>4</v>
      </c>
      <c r="O5" s="2" t="n">
        <v>5</v>
      </c>
      <c r="P5" s="2" t="n">
        <v>1</v>
      </c>
      <c r="Q5" s="2" t="n">
        <v>3</v>
      </c>
      <c r="R5" s="3" t="s">
        <v>30</v>
      </c>
    </row>
    <row r="6" customFormat="false" ht="35.05" hidden="false" customHeight="false" outlineLevel="0" collapsed="false">
      <c r="A6" s="2" t="n">
        <v>5</v>
      </c>
      <c r="B6" s="2" t="s">
        <v>31</v>
      </c>
      <c r="C6" s="3" t="s">
        <v>32</v>
      </c>
      <c r="D6" s="2" t="s">
        <v>33</v>
      </c>
      <c r="E6" s="2" t="s">
        <v>21</v>
      </c>
      <c r="F6" s="2" t="s">
        <v>22</v>
      </c>
      <c r="G6" s="2" t="n">
        <v>251</v>
      </c>
      <c r="H6" s="2" t="s">
        <v>22</v>
      </c>
      <c r="I6" s="2" t="s">
        <v>23</v>
      </c>
      <c r="J6" s="2" t="n">
        <v>2441</v>
      </c>
      <c r="K6" s="2" t="n">
        <v>12002</v>
      </c>
      <c r="L6" s="2" t="n">
        <v>35739</v>
      </c>
      <c r="M6" s="2" t="n">
        <v>39</v>
      </c>
      <c r="N6" s="2" t="n">
        <v>6</v>
      </c>
      <c r="O6" s="2" t="n">
        <v>7</v>
      </c>
      <c r="P6" s="2" t="n">
        <v>0</v>
      </c>
      <c r="Q6" s="2" t="n">
        <v>3</v>
      </c>
      <c r="R6" s="3" t="s">
        <v>34</v>
      </c>
    </row>
    <row r="7" customFormat="false" ht="35.05" hidden="false" customHeight="false" outlineLevel="0" collapsed="false">
      <c r="A7" s="2" t="n">
        <v>6</v>
      </c>
      <c r="B7" s="2" t="s">
        <v>31</v>
      </c>
      <c r="C7" s="3" t="s">
        <v>32</v>
      </c>
      <c r="D7" s="2" t="s">
        <v>35</v>
      </c>
      <c r="E7" s="2" t="s">
        <v>21</v>
      </c>
      <c r="F7" s="2" t="s">
        <v>22</v>
      </c>
      <c r="G7" s="2" t="n">
        <v>293</v>
      </c>
      <c r="H7" s="2" t="s">
        <v>22</v>
      </c>
      <c r="I7" s="2" t="s">
        <v>23</v>
      </c>
      <c r="J7" s="2" t="n">
        <v>2920</v>
      </c>
      <c r="K7" s="2" t="n">
        <v>14366</v>
      </c>
      <c r="L7" s="2" t="n">
        <v>38259</v>
      </c>
      <c r="M7" s="2" t="n">
        <v>40</v>
      </c>
      <c r="N7" s="2" t="n">
        <v>6</v>
      </c>
      <c r="O7" s="2" t="n">
        <v>7</v>
      </c>
      <c r="P7" s="2" t="n">
        <v>0</v>
      </c>
      <c r="Q7" s="2" t="n">
        <v>3</v>
      </c>
      <c r="R7" s="3" t="s">
        <v>36</v>
      </c>
    </row>
    <row r="8" customFormat="false" ht="35.05" hidden="false" customHeight="false" outlineLevel="0" collapsed="false">
      <c r="A8" s="2" t="n">
        <v>7</v>
      </c>
      <c r="B8" s="2" t="s">
        <v>31</v>
      </c>
      <c r="C8" s="3" t="s">
        <v>32</v>
      </c>
      <c r="D8" s="2" t="s">
        <v>37</v>
      </c>
      <c r="E8" s="2" t="s">
        <v>21</v>
      </c>
      <c r="F8" s="2" t="s">
        <v>22</v>
      </c>
      <c r="G8" s="2" t="n">
        <v>253</v>
      </c>
      <c r="H8" s="2" t="s">
        <v>22</v>
      </c>
      <c r="I8" s="2" t="s">
        <v>23</v>
      </c>
      <c r="J8" s="2" t="n">
        <v>2694</v>
      </c>
      <c r="K8" s="2" t="n">
        <v>13129</v>
      </c>
      <c r="L8" s="2" t="n">
        <v>37622</v>
      </c>
      <c r="M8" s="2" t="n">
        <v>38</v>
      </c>
      <c r="N8" s="2" t="n">
        <v>6</v>
      </c>
      <c r="O8" s="2" t="n">
        <v>7</v>
      </c>
      <c r="P8" s="2" t="n">
        <v>1</v>
      </c>
      <c r="Q8" s="2" t="n">
        <v>3</v>
      </c>
      <c r="R8" s="3" t="s">
        <v>38</v>
      </c>
    </row>
    <row r="9" customFormat="false" ht="35.05" hidden="false" customHeight="false" outlineLevel="0" collapsed="false">
      <c r="A9" s="2" t="n">
        <v>8</v>
      </c>
      <c r="B9" s="2" t="s">
        <v>31</v>
      </c>
      <c r="C9" s="3" t="s">
        <v>32</v>
      </c>
      <c r="D9" s="2" t="s">
        <v>39</v>
      </c>
      <c r="E9" s="2" t="s">
        <v>21</v>
      </c>
      <c r="F9" s="2" t="s">
        <v>22</v>
      </c>
      <c r="G9" s="2" t="n">
        <v>296</v>
      </c>
      <c r="H9" s="2" t="s">
        <v>22</v>
      </c>
      <c r="I9" s="2" t="s">
        <v>23</v>
      </c>
      <c r="J9" s="2" t="n">
        <v>2421</v>
      </c>
      <c r="K9" s="2" t="n">
        <v>12166</v>
      </c>
      <c r="L9" s="2" t="n">
        <v>36487</v>
      </c>
      <c r="M9" s="2" t="n">
        <v>39</v>
      </c>
      <c r="N9" s="2" t="n">
        <v>6</v>
      </c>
      <c r="O9" s="2" t="n">
        <v>7</v>
      </c>
      <c r="P9" s="2" t="n">
        <v>1</v>
      </c>
      <c r="Q9" s="2" t="n">
        <v>3</v>
      </c>
      <c r="R9" s="3" t="s">
        <v>40</v>
      </c>
    </row>
    <row r="10" customFormat="false" ht="35.05" hidden="false" customHeight="false" outlineLevel="0" collapsed="false">
      <c r="A10" s="2" t="n">
        <v>9</v>
      </c>
      <c r="B10" s="2" t="s">
        <v>31</v>
      </c>
      <c r="C10" s="3" t="s">
        <v>32</v>
      </c>
      <c r="D10" s="2" t="s">
        <v>41</v>
      </c>
      <c r="E10" s="2" t="s">
        <v>21</v>
      </c>
      <c r="F10" s="2" t="s">
        <v>22</v>
      </c>
      <c r="G10" s="2" t="n">
        <v>291</v>
      </c>
      <c r="H10" s="2" t="s">
        <v>22</v>
      </c>
      <c r="I10" s="2" t="s">
        <v>23</v>
      </c>
      <c r="J10" s="2" t="n">
        <v>3049</v>
      </c>
      <c r="K10" s="2" t="n">
        <v>14968</v>
      </c>
      <c r="L10" s="2" t="n">
        <v>38112</v>
      </c>
      <c r="M10" s="2" t="n">
        <v>40</v>
      </c>
      <c r="N10" s="2" t="n">
        <v>7</v>
      </c>
      <c r="O10" s="2" t="n">
        <v>8</v>
      </c>
      <c r="P10" s="2" t="n">
        <v>0</v>
      </c>
      <c r="Q10" s="2" t="n">
        <v>3</v>
      </c>
      <c r="R10" s="3" t="s">
        <v>42</v>
      </c>
    </row>
    <row r="11" customFormat="false" ht="46.25" hidden="false" customHeight="false" outlineLevel="0" collapsed="false">
      <c r="A11" s="2" t="n">
        <v>10</v>
      </c>
      <c r="B11" s="2" t="s">
        <v>43</v>
      </c>
      <c r="C11" s="3" t="s">
        <v>44</v>
      </c>
      <c r="D11" s="2" t="s">
        <v>45</v>
      </c>
      <c r="E11" s="2" t="s">
        <v>21</v>
      </c>
      <c r="F11" s="2" t="s">
        <v>22</v>
      </c>
      <c r="G11" s="2" t="n">
        <v>347</v>
      </c>
      <c r="H11" s="2" t="s">
        <v>22</v>
      </c>
      <c r="I11" s="2" t="s">
        <v>23</v>
      </c>
      <c r="J11" s="2" t="n">
        <v>2586</v>
      </c>
      <c r="K11" s="2" t="n">
        <v>13029</v>
      </c>
      <c r="L11" s="2" t="n">
        <v>39970</v>
      </c>
      <c r="M11" s="2" t="n">
        <v>41</v>
      </c>
      <c r="N11" s="2" t="n">
        <v>5</v>
      </c>
      <c r="O11" s="2" t="n">
        <v>6</v>
      </c>
      <c r="P11" s="2" t="n">
        <v>2</v>
      </c>
      <c r="Q11" s="2" t="n">
        <v>4</v>
      </c>
      <c r="R11" s="3" t="s">
        <v>46</v>
      </c>
    </row>
    <row r="12" customFormat="false" ht="35.05" hidden="false" customHeight="false" outlineLevel="0" collapsed="false">
      <c r="A12" s="2" t="n">
        <v>11</v>
      </c>
      <c r="B12" s="2" t="s">
        <v>43</v>
      </c>
      <c r="C12" s="3" t="s">
        <v>44</v>
      </c>
      <c r="D12" s="2" t="s">
        <v>47</v>
      </c>
      <c r="E12" s="2" t="s">
        <v>21</v>
      </c>
      <c r="F12" s="2" t="s">
        <v>22</v>
      </c>
      <c r="G12" s="2" t="n">
        <v>251</v>
      </c>
      <c r="H12" s="2" t="s">
        <v>22</v>
      </c>
      <c r="I12" s="2" t="s">
        <v>23</v>
      </c>
      <c r="J12" s="2" t="n">
        <v>2822</v>
      </c>
      <c r="K12" s="2" t="n">
        <v>14011</v>
      </c>
      <c r="L12" s="2" t="n">
        <v>37964</v>
      </c>
      <c r="M12" s="2" t="n">
        <v>39</v>
      </c>
      <c r="N12" s="2" t="n">
        <v>7</v>
      </c>
      <c r="O12" s="2" t="n">
        <v>8</v>
      </c>
      <c r="P12" s="2" t="n">
        <v>1</v>
      </c>
      <c r="Q12" s="2" t="n">
        <v>3</v>
      </c>
      <c r="R12" s="3" t="s">
        <v>48</v>
      </c>
    </row>
    <row r="13" customFormat="false" ht="35.05" hidden="false" customHeight="false" outlineLevel="0" collapsed="false">
      <c r="A13" s="2" t="n">
        <v>12</v>
      </c>
      <c r="B13" s="2" t="s">
        <v>43</v>
      </c>
      <c r="C13" s="3" t="s">
        <v>44</v>
      </c>
      <c r="D13" s="2" t="s">
        <v>49</v>
      </c>
      <c r="E13" s="2" t="s">
        <v>21</v>
      </c>
      <c r="F13" s="2" t="s">
        <v>22</v>
      </c>
      <c r="G13" s="2" t="n">
        <v>281</v>
      </c>
      <c r="H13" s="2" t="s">
        <v>22</v>
      </c>
      <c r="I13" s="2" t="s">
        <v>23</v>
      </c>
      <c r="J13" s="2" t="n">
        <v>2656</v>
      </c>
      <c r="K13" s="2" t="n">
        <v>13106</v>
      </c>
      <c r="L13" s="2" t="n">
        <v>37136</v>
      </c>
      <c r="M13" s="2" t="n">
        <v>39</v>
      </c>
      <c r="N13" s="2" t="n">
        <v>6</v>
      </c>
      <c r="O13" s="2" t="n">
        <v>7</v>
      </c>
      <c r="P13" s="2" t="n">
        <v>0</v>
      </c>
      <c r="Q13" s="2" t="n">
        <v>3</v>
      </c>
      <c r="R13" s="3" t="s">
        <v>50</v>
      </c>
    </row>
    <row r="14" customFormat="false" ht="35.05" hidden="false" customHeight="false" outlineLevel="0" collapsed="false">
      <c r="A14" s="2" t="n">
        <v>13</v>
      </c>
      <c r="B14" s="2" t="s">
        <v>43</v>
      </c>
      <c r="C14" s="3" t="s">
        <v>44</v>
      </c>
      <c r="D14" s="2" t="s">
        <v>51</v>
      </c>
      <c r="E14" s="2" t="s">
        <v>21</v>
      </c>
      <c r="F14" s="2" t="s">
        <v>22</v>
      </c>
      <c r="G14" s="2" t="n">
        <v>314</v>
      </c>
      <c r="H14" s="2" t="s">
        <v>22</v>
      </c>
      <c r="I14" s="2" t="s">
        <v>23</v>
      </c>
      <c r="J14" s="2" t="n">
        <v>3281</v>
      </c>
      <c r="K14" s="2" t="n">
        <v>16256</v>
      </c>
      <c r="L14" s="2" t="n">
        <v>42689</v>
      </c>
      <c r="M14" s="2" t="n">
        <v>42</v>
      </c>
      <c r="N14" s="2" t="n">
        <v>7</v>
      </c>
      <c r="O14" s="2" t="n">
        <v>8</v>
      </c>
      <c r="P14" s="2" t="n">
        <v>1</v>
      </c>
      <c r="Q14" s="2" t="n">
        <v>3</v>
      </c>
      <c r="R14" s="3" t="s">
        <v>52</v>
      </c>
    </row>
    <row r="15" customFormat="false" ht="46.25" hidden="false" customHeight="false" outlineLevel="0" collapsed="false">
      <c r="A15" s="2" t="n">
        <v>14</v>
      </c>
      <c r="B15" s="2" t="s">
        <v>43</v>
      </c>
      <c r="C15" s="3" t="s">
        <v>44</v>
      </c>
      <c r="D15" s="2" t="s">
        <v>53</v>
      </c>
      <c r="E15" s="2" t="s">
        <v>21</v>
      </c>
      <c r="F15" s="2" t="s">
        <v>22</v>
      </c>
      <c r="G15" s="2" t="n">
        <v>357</v>
      </c>
      <c r="H15" s="2" t="s">
        <v>22</v>
      </c>
      <c r="I15" s="2" t="s">
        <v>23</v>
      </c>
      <c r="J15" s="2" t="n">
        <v>2957</v>
      </c>
      <c r="K15" s="2" t="n">
        <v>14488</v>
      </c>
      <c r="L15" s="2" t="n">
        <v>37508</v>
      </c>
      <c r="M15" s="2" t="n">
        <v>39</v>
      </c>
      <c r="N15" s="2" t="n">
        <v>6</v>
      </c>
      <c r="O15" s="2" t="n">
        <v>7</v>
      </c>
      <c r="P15" s="2" t="n">
        <v>0</v>
      </c>
      <c r="Q15" s="2" t="n">
        <v>3</v>
      </c>
      <c r="R15" s="3" t="s">
        <v>54</v>
      </c>
    </row>
    <row r="16" customFormat="false" ht="46.25" hidden="false" customHeight="false" outlineLevel="0" collapsed="false">
      <c r="A16" s="2" t="n">
        <v>15</v>
      </c>
      <c r="B16" s="2" t="s">
        <v>43</v>
      </c>
      <c r="C16" s="3" t="s">
        <v>44</v>
      </c>
      <c r="D16" s="2" t="s">
        <v>55</v>
      </c>
      <c r="E16" s="2" t="s">
        <v>21</v>
      </c>
      <c r="F16" s="2" t="s">
        <v>22</v>
      </c>
      <c r="G16" s="2" t="n">
        <v>389</v>
      </c>
      <c r="H16" s="2" t="s">
        <v>22</v>
      </c>
      <c r="I16" s="2" t="s">
        <v>23</v>
      </c>
      <c r="J16" s="2" t="n">
        <v>2923</v>
      </c>
      <c r="K16" s="2" t="n">
        <v>14276</v>
      </c>
      <c r="L16" s="2" t="n">
        <v>36995</v>
      </c>
      <c r="M16" s="2" t="n">
        <v>40</v>
      </c>
      <c r="N16" s="2" t="n">
        <v>6</v>
      </c>
      <c r="O16" s="2" t="n">
        <v>7</v>
      </c>
      <c r="P16" s="2" t="n">
        <v>0</v>
      </c>
      <c r="Q16" s="2" t="n">
        <v>7</v>
      </c>
      <c r="R16" s="3" t="s">
        <v>56</v>
      </c>
    </row>
    <row r="17" customFormat="false" ht="46.25" hidden="false" customHeight="false" outlineLevel="0" collapsed="false">
      <c r="A17" s="2" t="n">
        <v>16</v>
      </c>
      <c r="B17" s="2" t="s">
        <v>43</v>
      </c>
      <c r="C17" s="3" t="s">
        <v>44</v>
      </c>
      <c r="D17" s="2" t="s">
        <v>57</v>
      </c>
      <c r="E17" s="2" t="s">
        <v>21</v>
      </c>
      <c r="F17" s="2" t="s">
        <v>22</v>
      </c>
      <c r="G17" s="2" t="n">
        <v>321</v>
      </c>
      <c r="H17" s="2" t="s">
        <v>22</v>
      </c>
      <c r="I17" s="2" t="s">
        <v>23</v>
      </c>
      <c r="J17" s="2" t="n">
        <v>3552</v>
      </c>
      <c r="K17" s="2" t="n">
        <v>17762</v>
      </c>
      <c r="L17" s="2" t="n">
        <v>42137</v>
      </c>
      <c r="M17" s="2" t="n">
        <v>40</v>
      </c>
      <c r="N17" s="2" t="n">
        <v>7</v>
      </c>
      <c r="O17" s="2" t="n">
        <v>8</v>
      </c>
      <c r="P17" s="2" t="n">
        <v>0</v>
      </c>
      <c r="Q17" s="2" t="n">
        <v>3</v>
      </c>
      <c r="R17" s="3" t="s">
        <v>58</v>
      </c>
    </row>
    <row r="18" customFormat="false" ht="35.05" hidden="false" customHeight="false" outlineLevel="0" collapsed="false">
      <c r="A18" s="2" t="n">
        <v>17</v>
      </c>
      <c r="B18" s="2" t="s">
        <v>43</v>
      </c>
      <c r="C18" s="3" t="s">
        <v>44</v>
      </c>
      <c r="D18" s="2" t="s">
        <v>59</v>
      </c>
      <c r="E18" s="2" t="s">
        <v>21</v>
      </c>
      <c r="F18" s="2" t="s">
        <v>22</v>
      </c>
      <c r="G18" s="2" t="n">
        <v>309</v>
      </c>
      <c r="H18" s="2" t="s">
        <v>22</v>
      </c>
      <c r="I18" s="2" t="s">
        <v>23</v>
      </c>
      <c r="J18" s="2" t="n">
        <v>2815</v>
      </c>
      <c r="K18" s="2" t="n">
        <v>14134</v>
      </c>
      <c r="L18" s="2" t="n">
        <v>38236</v>
      </c>
      <c r="M18" s="2" t="n">
        <v>39</v>
      </c>
      <c r="N18" s="2" t="n">
        <v>6</v>
      </c>
      <c r="O18" s="2" t="n">
        <v>7</v>
      </c>
      <c r="P18" s="2" t="n">
        <v>0</v>
      </c>
      <c r="Q18" s="2" t="n">
        <v>3</v>
      </c>
      <c r="R18" s="3" t="s">
        <v>60</v>
      </c>
    </row>
    <row r="19" customFormat="false" ht="35.05" hidden="false" customHeight="false" outlineLevel="0" collapsed="false">
      <c r="A19" s="2" t="n">
        <v>18</v>
      </c>
      <c r="B19" s="2" t="s">
        <v>43</v>
      </c>
      <c r="C19" s="3" t="s">
        <v>44</v>
      </c>
      <c r="D19" s="2" t="s">
        <v>61</v>
      </c>
      <c r="E19" s="2" t="s">
        <v>21</v>
      </c>
      <c r="F19" s="2" t="s">
        <v>22</v>
      </c>
      <c r="G19" s="2" t="n">
        <v>278</v>
      </c>
      <c r="H19" s="2" t="s">
        <v>22</v>
      </c>
      <c r="I19" s="2" t="s">
        <v>23</v>
      </c>
      <c r="J19" s="2" t="n">
        <v>3016</v>
      </c>
      <c r="K19" s="2" t="n">
        <v>14989</v>
      </c>
      <c r="L19" s="2" t="n">
        <v>38901</v>
      </c>
      <c r="M19" s="2" t="n">
        <v>39</v>
      </c>
      <c r="N19" s="2" t="n">
        <v>6</v>
      </c>
      <c r="O19" s="2" t="n">
        <v>7</v>
      </c>
      <c r="P19" s="2" t="n">
        <v>0</v>
      </c>
      <c r="Q19" s="2" t="n">
        <v>3</v>
      </c>
      <c r="R19" s="3" t="s">
        <v>62</v>
      </c>
    </row>
    <row r="20" customFormat="false" ht="35.05" hidden="false" customHeight="false" outlineLevel="0" collapsed="false">
      <c r="A20" s="2" t="n">
        <v>19</v>
      </c>
      <c r="B20" s="2" t="s">
        <v>43</v>
      </c>
      <c r="C20" s="3" t="s">
        <v>44</v>
      </c>
      <c r="D20" s="2" t="s">
        <v>63</v>
      </c>
      <c r="E20" s="2" t="s">
        <v>64</v>
      </c>
      <c r="F20" s="2" t="s">
        <v>22</v>
      </c>
      <c r="G20" s="2" t="n">
        <v>310</v>
      </c>
      <c r="H20" s="2" t="s">
        <v>22</v>
      </c>
      <c r="I20" s="2" t="s">
        <v>23</v>
      </c>
      <c r="J20" s="2" t="n">
        <v>2926</v>
      </c>
      <c r="K20" s="2" t="n">
        <v>14330</v>
      </c>
      <c r="L20" s="2" t="n">
        <v>36977</v>
      </c>
      <c r="M20" s="2" t="n">
        <v>39</v>
      </c>
      <c r="N20" s="2" t="n">
        <v>8</v>
      </c>
      <c r="O20" s="2" t="n">
        <v>9</v>
      </c>
      <c r="P20" s="2" t="n">
        <v>1</v>
      </c>
      <c r="Q20" s="2" t="n">
        <v>3</v>
      </c>
      <c r="R20" s="3" t="s">
        <v>65</v>
      </c>
    </row>
    <row r="21" customFormat="false" ht="46.25" hidden="false" customHeight="false" outlineLevel="0" collapsed="false">
      <c r="A21" s="2" t="n">
        <v>20</v>
      </c>
      <c r="B21" s="2" t="s">
        <v>66</v>
      </c>
      <c r="C21" s="3" t="s">
        <v>67</v>
      </c>
      <c r="D21" s="2" t="s">
        <v>68</v>
      </c>
      <c r="E21" s="2" t="s">
        <v>21</v>
      </c>
      <c r="F21" s="2" t="s">
        <v>22</v>
      </c>
      <c r="G21" s="2" t="n">
        <v>383</v>
      </c>
      <c r="H21" s="2" t="s">
        <v>22</v>
      </c>
      <c r="I21" s="2" t="s">
        <v>23</v>
      </c>
      <c r="J21" s="2" t="n">
        <v>2992</v>
      </c>
      <c r="K21" s="2" t="n">
        <v>15052</v>
      </c>
      <c r="L21" s="2" t="n">
        <v>42250</v>
      </c>
      <c r="M21" s="2" t="n">
        <v>42</v>
      </c>
      <c r="N21" s="2" t="n">
        <v>5</v>
      </c>
      <c r="O21" s="2" t="n">
        <v>6</v>
      </c>
      <c r="P21" s="2" t="n">
        <v>0</v>
      </c>
      <c r="Q21" s="2" t="n">
        <v>3</v>
      </c>
      <c r="R21" s="3" t="s">
        <v>69</v>
      </c>
    </row>
    <row r="22" customFormat="false" ht="35.05" hidden="false" customHeight="false" outlineLevel="0" collapsed="false">
      <c r="A22" s="2" t="n">
        <v>21</v>
      </c>
      <c r="B22" s="2" t="s">
        <v>66</v>
      </c>
      <c r="C22" s="3" t="s">
        <v>67</v>
      </c>
      <c r="D22" s="2" t="s">
        <v>70</v>
      </c>
      <c r="E22" s="2" t="s">
        <v>21</v>
      </c>
      <c r="F22" s="2" t="s">
        <v>22</v>
      </c>
      <c r="G22" s="2" t="n">
        <v>276</v>
      </c>
      <c r="H22" s="2" t="s">
        <v>22</v>
      </c>
      <c r="I22" s="2" t="s">
        <v>23</v>
      </c>
      <c r="J22" s="2" t="n">
        <v>3107</v>
      </c>
      <c r="K22" s="2" t="n">
        <v>15359</v>
      </c>
      <c r="L22" s="2" t="n">
        <v>42760</v>
      </c>
      <c r="M22" s="2" t="n">
        <v>42</v>
      </c>
      <c r="N22" s="2" t="n">
        <v>6</v>
      </c>
      <c r="O22" s="2" t="n">
        <v>7</v>
      </c>
      <c r="P22" s="2" t="n">
        <v>0</v>
      </c>
      <c r="Q22" s="2" t="n">
        <v>3</v>
      </c>
      <c r="R22" s="3" t="s">
        <v>71</v>
      </c>
    </row>
    <row r="23" customFormat="false" ht="46.25" hidden="false" customHeight="false" outlineLevel="0" collapsed="false">
      <c r="A23" s="2" t="n">
        <v>22</v>
      </c>
      <c r="B23" s="2" t="s">
        <v>66</v>
      </c>
      <c r="C23" s="3" t="s">
        <v>67</v>
      </c>
      <c r="D23" s="2" t="s">
        <v>72</v>
      </c>
      <c r="E23" s="2" t="s">
        <v>21</v>
      </c>
      <c r="F23" s="2" t="s">
        <v>22</v>
      </c>
      <c r="G23" s="2" t="n">
        <v>375</v>
      </c>
      <c r="H23" s="2" t="s">
        <v>22</v>
      </c>
      <c r="I23" s="2" t="s">
        <v>23</v>
      </c>
      <c r="J23" s="2" t="n">
        <v>3126</v>
      </c>
      <c r="K23" s="2" t="n">
        <v>15582</v>
      </c>
      <c r="L23" s="2" t="n">
        <v>39749</v>
      </c>
      <c r="M23" s="2" t="n">
        <v>40</v>
      </c>
      <c r="N23" s="2" t="n">
        <v>7</v>
      </c>
      <c r="O23" s="2" t="n">
        <v>8</v>
      </c>
      <c r="P23" s="2" t="n">
        <v>0</v>
      </c>
      <c r="Q23" s="2" t="n">
        <v>3</v>
      </c>
      <c r="R23" s="3" t="s">
        <v>73</v>
      </c>
    </row>
    <row r="24" customFormat="false" ht="35.05" hidden="false" customHeight="false" outlineLevel="0" collapsed="false">
      <c r="A24" s="2" t="n">
        <v>23</v>
      </c>
      <c r="B24" s="2" t="s">
        <v>66</v>
      </c>
      <c r="C24" s="3" t="s">
        <v>67</v>
      </c>
      <c r="D24" s="2" t="s">
        <v>74</v>
      </c>
      <c r="E24" s="2" t="s">
        <v>64</v>
      </c>
      <c r="F24" s="2" t="s">
        <v>22</v>
      </c>
      <c r="G24" s="2" t="n">
        <v>260</v>
      </c>
      <c r="H24" s="2" t="s">
        <v>22</v>
      </c>
      <c r="I24" s="2" t="s">
        <v>23</v>
      </c>
      <c r="J24" s="2" t="n">
        <v>2911</v>
      </c>
      <c r="K24" s="2" t="n">
        <v>14511</v>
      </c>
      <c r="L24" s="2" t="n">
        <v>36867</v>
      </c>
      <c r="M24" s="2" t="n">
        <v>40</v>
      </c>
      <c r="N24" s="2" t="n">
        <v>6</v>
      </c>
      <c r="O24" s="2" t="n">
        <v>7</v>
      </c>
      <c r="P24" s="2" t="n">
        <v>1</v>
      </c>
      <c r="Q24" s="2" t="n">
        <v>4</v>
      </c>
      <c r="R24" s="3" t="s">
        <v>75</v>
      </c>
    </row>
    <row r="25" customFormat="false" ht="46.25" hidden="false" customHeight="false" outlineLevel="0" collapsed="false">
      <c r="A25" s="2" t="n">
        <v>24</v>
      </c>
      <c r="B25" s="2" t="s">
        <v>76</v>
      </c>
      <c r="C25" s="3" t="s">
        <v>77</v>
      </c>
      <c r="D25" s="2" t="s">
        <v>78</v>
      </c>
      <c r="E25" s="2" t="s">
        <v>79</v>
      </c>
      <c r="F25" s="2" t="s">
        <v>22</v>
      </c>
      <c r="G25" s="2" t="n">
        <v>362</v>
      </c>
      <c r="H25" s="2" t="s">
        <v>22</v>
      </c>
      <c r="I25" s="2" t="s">
        <v>23</v>
      </c>
      <c r="J25" s="2" t="n">
        <v>2511</v>
      </c>
      <c r="K25" s="2" t="n">
        <v>12801</v>
      </c>
      <c r="L25" s="2" t="n">
        <v>34452</v>
      </c>
      <c r="M25" s="2" t="n">
        <v>38</v>
      </c>
      <c r="N25" s="2" t="n">
        <v>6</v>
      </c>
      <c r="O25" s="2" t="n">
        <v>7</v>
      </c>
      <c r="P25" s="2" t="n">
        <v>1</v>
      </c>
      <c r="Q25" s="2" t="n">
        <v>14</v>
      </c>
      <c r="R25" s="3" t="s">
        <v>80</v>
      </c>
    </row>
    <row r="26" customFormat="false" ht="46.25" hidden="false" customHeight="false" outlineLevel="0" collapsed="false">
      <c r="A26" s="2" t="n">
        <v>25</v>
      </c>
      <c r="B26" s="2" t="s">
        <v>76</v>
      </c>
      <c r="C26" s="3" t="s">
        <v>77</v>
      </c>
      <c r="D26" s="2" t="s">
        <v>81</v>
      </c>
      <c r="E26" s="2" t="s">
        <v>21</v>
      </c>
      <c r="F26" s="2" t="s">
        <v>22</v>
      </c>
      <c r="G26" s="2" t="n">
        <v>379</v>
      </c>
      <c r="H26" s="2" t="s">
        <v>22</v>
      </c>
      <c r="I26" s="2" t="s">
        <v>23</v>
      </c>
      <c r="J26" s="2" t="n">
        <v>2608</v>
      </c>
      <c r="K26" s="2" t="n">
        <v>12995</v>
      </c>
      <c r="L26" s="2" t="n">
        <v>35676</v>
      </c>
      <c r="M26" s="2" t="n">
        <v>40</v>
      </c>
      <c r="N26" s="2" t="n">
        <v>5</v>
      </c>
      <c r="O26" s="2" t="n">
        <v>6</v>
      </c>
      <c r="P26" s="2" t="n">
        <v>1</v>
      </c>
      <c r="Q26" s="2" t="n">
        <v>8</v>
      </c>
      <c r="R26" s="3" t="s">
        <v>82</v>
      </c>
    </row>
    <row r="27" customFormat="false" ht="46.25" hidden="false" customHeight="false" outlineLevel="0" collapsed="false">
      <c r="A27" s="2" t="n">
        <v>26</v>
      </c>
      <c r="B27" s="2" t="s">
        <v>76</v>
      </c>
      <c r="C27" s="3" t="s">
        <v>77</v>
      </c>
      <c r="D27" s="2" t="s">
        <v>83</v>
      </c>
      <c r="E27" s="2" t="s">
        <v>64</v>
      </c>
      <c r="F27" s="2" t="s">
        <v>22</v>
      </c>
      <c r="G27" s="2" t="n">
        <v>346</v>
      </c>
      <c r="H27" s="2" t="s">
        <v>22</v>
      </c>
      <c r="I27" s="2" t="s">
        <v>23</v>
      </c>
      <c r="J27" s="2" t="n">
        <v>1802</v>
      </c>
      <c r="K27" s="2" t="n">
        <v>9266</v>
      </c>
      <c r="L27" s="2" t="n">
        <v>31111</v>
      </c>
      <c r="M27" s="2" t="n">
        <v>22</v>
      </c>
      <c r="N27" s="2" t="n">
        <v>4</v>
      </c>
      <c r="O27" s="2" t="n">
        <v>5</v>
      </c>
      <c r="P27" s="2" t="n">
        <v>0</v>
      </c>
      <c r="Q27" s="2" t="n">
        <v>6</v>
      </c>
      <c r="R27" s="3" t="s">
        <v>84</v>
      </c>
    </row>
    <row r="28" customFormat="false" ht="46.25" hidden="false" customHeight="false" outlineLevel="0" collapsed="false">
      <c r="A28" s="2" t="n">
        <v>27</v>
      </c>
      <c r="B28" s="2" t="s">
        <v>76</v>
      </c>
      <c r="C28" s="3" t="s">
        <v>77</v>
      </c>
      <c r="D28" s="2" t="s">
        <v>85</v>
      </c>
      <c r="E28" s="2" t="s">
        <v>21</v>
      </c>
      <c r="F28" s="2" t="s">
        <v>22</v>
      </c>
      <c r="G28" s="2" t="n">
        <v>369</v>
      </c>
      <c r="H28" s="2" t="s">
        <v>22</v>
      </c>
      <c r="I28" s="2" t="s">
        <v>23</v>
      </c>
      <c r="J28" s="2" t="n">
        <v>2759</v>
      </c>
      <c r="K28" s="2" t="n">
        <v>13622</v>
      </c>
      <c r="L28" s="2" t="n">
        <v>36296</v>
      </c>
      <c r="M28" s="2" t="n">
        <v>40</v>
      </c>
      <c r="N28" s="2" t="n">
        <v>6</v>
      </c>
      <c r="O28" s="2" t="n">
        <v>7</v>
      </c>
      <c r="P28" s="2" t="n">
        <v>1</v>
      </c>
      <c r="Q28" s="2" t="n">
        <v>12</v>
      </c>
      <c r="R28" s="3" t="s">
        <v>86</v>
      </c>
    </row>
    <row r="29" customFormat="false" ht="35.05" hidden="false" customHeight="false" outlineLevel="0" collapsed="false">
      <c r="A29" s="2" t="n">
        <v>28</v>
      </c>
      <c r="B29" s="2" t="s">
        <v>76</v>
      </c>
      <c r="C29" s="3" t="s">
        <v>77</v>
      </c>
      <c r="D29" s="2" t="s">
        <v>87</v>
      </c>
      <c r="E29" s="2" t="s">
        <v>64</v>
      </c>
      <c r="F29" s="2" t="s">
        <v>22</v>
      </c>
      <c r="G29" s="2" t="n">
        <v>275</v>
      </c>
      <c r="H29" s="2" t="s">
        <v>22</v>
      </c>
      <c r="I29" s="2" t="s">
        <v>23</v>
      </c>
      <c r="J29" s="2" t="n">
        <v>1709</v>
      </c>
      <c r="K29" s="2" t="n">
        <v>8827</v>
      </c>
      <c r="L29" s="2" t="n">
        <v>30602</v>
      </c>
      <c r="M29" s="2" t="n">
        <v>22</v>
      </c>
      <c r="N29" s="2" t="n">
        <v>4</v>
      </c>
      <c r="O29" s="2" t="n">
        <v>5</v>
      </c>
      <c r="P29" s="2" t="n">
        <v>0</v>
      </c>
      <c r="Q29" s="2" t="n">
        <v>6</v>
      </c>
      <c r="R29" s="3" t="s">
        <v>88</v>
      </c>
    </row>
    <row r="30" customFormat="false" ht="46.25" hidden="false" customHeight="false" outlineLevel="0" collapsed="false">
      <c r="A30" s="2" t="n">
        <v>29</v>
      </c>
      <c r="B30" s="2" t="s">
        <v>76</v>
      </c>
      <c r="C30" s="3" t="s">
        <v>77</v>
      </c>
      <c r="D30" s="2" t="s">
        <v>89</v>
      </c>
      <c r="E30" s="2" t="s">
        <v>64</v>
      </c>
      <c r="F30" s="2" t="s">
        <v>23</v>
      </c>
      <c r="G30" s="2" t="n">
        <v>344</v>
      </c>
      <c r="H30" s="2" t="s">
        <v>22</v>
      </c>
      <c r="I30" s="2" t="s">
        <v>23</v>
      </c>
      <c r="J30" s="2" t="n">
        <v>3332</v>
      </c>
      <c r="K30" s="2" t="n">
        <v>16408</v>
      </c>
      <c r="L30" s="2" t="n">
        <v>41808</v>
      </c>
      <c r="M30" s="2" t="n">
        <v>43</v>
      </c>
      <c r="N30" s="2" t="n">
        <v>6</v>
      </c>
      <c r="O30" s="2" t="n">
        <v>7</v>
      </c>
      <c r="P30" s="2" t="n">
        <v>1</v>
      </c>
      <c r="Q30" s="2" t="n">
        <v>3</v>
      </c>
      <c r="R30" s="3" t="s">
        <v>90</v>
      </c>
    </row>
    <row r="31" customFormat="false" ht="46.25" hidden="false" customHeight="false" outlineLevel="0" collapsed="false">
      <c r="A31" s="2" t="n">
        <v>30</v>
      </c>
      <c r="B31" s="2" t="s">
        <v>76</v>
      </c>
      <c r="C31" s="3" t="s">
        <v>77</v>
      </c>
      <c r="D31" s="2" t="s">
        <v>91</v>
      </c>
      <c r="E31" s="2" t="s">
        <v>64</v>
      </c>
      <c r="F31" s="2" t="s">
        <v>22</v>
      </c>
      <c r="G31" s="2" t="n">
        <v>342</v>
      </c>
      <c r="H31" s="2" t="s">
        <v>22</v>
      </c>
      <c r="I31" s="2" t="s">
        <v>23</v>
      </c>
      <c r="J31" s="2" t="n">
        <v>2749</v>
      </c>
      <c r="K31" s="2" t="n">
        <v>13942</v>
      </c>
      <c r="L31" s="2" t="n">
        <v>36125</v>
      </c>
      <c r="M31" s="2" t="n">
        <v>40</v>
      </c>
      <c r="N31" s="2" t="n">
        <v>6</v>
      </c>
      <c r="O31" s="2" t="n">
        <v>7</v>
      </c>
      <c r="P31" s="2" t="n">
        <v>0</v>
      </c>
      <c r="Q31" s="2" t="n">
        <v>5</v>
      </c>
      <c r="R31" s="3" t="s">
        <v>92</v>
      </c>
    </row>
    <row r="32" customFormat="false" ht="35.05" hidden="false" customHeight="false" outlineLevel="0" collapsed="false">
      <c r="A32" s="2" t="n">
        <v>31</v>
      </c>
      <c r="B32" s="2" t="s">
        <v>76</v>
      </c>
      <c r="C32" s="3" t="s">
        <v>77</v>
      </c>
      <c r="D32" s="2" t="s">
        <v>93</v>
      </c>
      <c r="E32" s="2" t="s">
        <v>64</v>
      </c>
      <c r="F32" s="2" t="s">
        <v>22</v>
      </c>
      <c r="G32" s="2" t="n">
        <v>298</v>
      </c>
      <c r="H32" s="2" t="s">
        <v>22</v>
      </c>
      <c r="I32" s="2" t="s">
        <v>23</v>
      </c>
      <c r="J32" s="2" t="n">
        <v>2905</v>
      </c>
      <c r="K32" s="2" t="n">
        <v>14407</v>
      </c>
      <c r="L32" s="2" t="n">
        <v>36537</v>
      </c>
      <c r="M32" s="2" t="n">
        <v>39</v>
      </c>
      <c r="N32" s="2" t="n">
        <v>7</v>
      </c>
      <c r="O32" s="2" t="n">
        <v>8</v>
      </c>
      <c r="P32" s="2" t="n">
        <v>1</v>
      </c>
      <c r="Q32" s="2" t="n">
        <v>48</v>
      </c>
      <c r="R32" s="3" t="s">
        <v>94</v>
      </c>
    </row>
    <row r="33" customFormat="false" ht="35.05" hidden="false" customHeight="false" outlineLevel="0" collapsed="false">
      <c r="A33" s="2" t="n">
        <v>32</v>
      </c>
      <c r="B33" s="2" t="s">
        <v>76</v>
      </c>
      <c r="C33" s="3" t="s">
        <v>77</v>
      </c>
      <c r="D33" s="2" t="s">
        <v>95</v>
      </c>
      <c r="E33" s="2" t="s">
        <v>21</v>
      </c>
      <c r="F33" s="2" t="s">
        <v>22</v>
      </c>
      <c r="G33" s="2" t="n">
        <v>255</v>
      </c>
      <c r="H33" s="2" t="s">
        <v>22</v>
      </c>
      <c r="I33" s="2" t="s">
        <v>23</v>
      </c>
      <c r="J33" s="2" t="n">
        <v>2968</v>
      </c>
      <c r="K33" s="2" t="n">
        <v>14842</v>
      </c>
      <c r="L33" s="2" t="n">
        <v>37872</v>
      </c>
      <c r="M33" s="2" t="n">
        <v>41</v>
      </c>
      <c r="N33" s="2" t="n">
        <v>5</v>
      </c>
      <c r="O33" s="2" t="n">
        <v>6</v>
      </c>
      <c r="P33" s="2" t="n">
        <v>1</v>
      </c>
      <c r="Q33" s="2" t="n">
        <v>3</v>
      </c>
      <c r="R33" s="3" t="s">
        <v>96</v>
      </c>
    </row>
    <row r="34" customFormat="false" ht="35.05" hidden="false" customHeight="false" outlineLevel="0" collapsed="false">
      <c r="A34" s="2" t="n">
        <v>33</v>
      </c>
      <c r="B34" s="2" t="s">
        <v>97</v>
      </c>
      <c r="C34" s="3" t="s">
        <v>98</v>
      </c>
      <c r="D34" s="2" t="s">
        <v>99</v>
      </c>
      <c r="E34" s="2" t="s">
        <v>21</v>
      </c>
      <c r="F34" s="2" t="s">
        <v>22</v>
      </c>
      <c r="G34" s="2" t="n">
        <v>244</v>
      </c>
      <c r="H34" s="2" t="s">
        <v>22</v>
      </c>
      <c r="I34" s="2" t="s">
        <v>22</v>
      </c>
      <c r="J34" s="2" t="n">
        <v>2474</v>
      </c>
      <c r="K34" s="2" t="n">
        <v>12343</v>
      </c>
      <c r="L34" s="2" t="n">
        <v>38995</v>
      </c>
      <c r="M34" s="2" t="n">
        <v>41</v>
      </c>
      <c r="N34" s="2" t="n">
        <v>5</v>
      </c>
      <c r="O34" s="2" t="n">
        <v>6</v>
      </c>
      <c r="P34" s="2" t="n">
        <v>0</v>
      </c>
      <c r="Q34" s="2" t="n">
        <v>5</v>
      </c>
      <c r="R34" s="3" t="s">
        <v>100</v>
      </c>
    </row>
    <row r="35" customFormat="false" ht="35.05" hidden="false" customHeight="false" outlineLevel="0" collapsed="false">
      <c r="A35" s="2" t="n">
        <v>34</v>
      </c>
      <c r="B35" s="2" t="s">
        <v>97</v>
      </c>
      <c r="C35" s="3" t="s">
        <v>98</v>
      </c>
      <c r="D35" s="2" t="s">
        <v>101</v>
      </c>
      <c r="E35" s="2" t="s">
        <v>21</v>
      </c>
      <c r="F35" s="2" t="s">
        <v>22</v>
      </c>
      <c r="G35" s="2" t="n">
        <v>277</v>
      </c>
      <c r="H35" s="2" t="s">
        <v>22</v>
      </c>
      <c r="I35" s="2" t="s">
        <v>23</v>
      </c>
      <c r="J35" s="2" t="n">
        <v>2617</v>
      </c>
      <c r="K35" s="2" t="n">
        <v>12835</v>
      </c>
      <c r="L35" s="2" t="n">
        <v>39594</v>
      </c>
      <c r="M35" s="2" t="n">
        <v>41</v>
      </c>
      <c r="N35" s="2" t="n">
        <v>6</v>
      </c>
      <c r="O35" s="2" t="n">
        <v>7</v>
      </c>
      <c r="P35" s="2" t="n">
        <v>0</v>
      </c>
      <c r="Q35" s="2" t="n">
        <v>13</v>
      </c>
      <c r="R35" s="3" t="s">
        <v>102</v>
      </c>
    </row>
    <row r="36" customFormat="false" ht="35.05" hidden="false" customHeight="false" outlineLevel="0" collapsed="false">
      <c r="A36" s="2" t="n">
        <v>35</v>
      </c>
      <c r="B36" s="2" t="s">
        <v>97</v>
      </c>
      <c r="C36" s="3" t="s">
        <v>98</v>
      </c>
      <c r="D36" s="2" t="s">
        <v>103</v>
      </c>
      <c r="E36" s="2" t="s">
        <v>21</v>
      </c>
      <c r="F36" s="2" t="s">
        <v>22</v>
      </c>
      <c r="G36" s="2" t="n">
        <v>266</v>
      </c>
      <c r="H36" s="2" t="s">
        <v>22</v>
      </c>
      <c r="I36" s="2" t="s">
        <v>23</v>
      </c>
      <c r="J36" s="2" t="n">
        <v>2627</v>
      </c>
      <c r="K36" s="2" t="n">
        <v>12916</v>
      </c>
      <c r="L36" s="2" t="n">
        <v>36094</v>
      </c>
      <c r="M36" s="2" t="n">
        <v>39</v>
      </c>
      <c r="N36" s="2" t="n">
        <v>6</v>
      </c>
      <c r="O36" s="2" t="n">
        <v>7</v>
      </c>
      <c r="P36" s="2" t="n">
        <v>0</v>
      </c>
      <c r="Q36" s="2" t="n">
        <v>6</v>
      </c>
      <c r="R36" s="3" t="s">
        <v>104</v>
      </c>
    </row>
    <row r="37" customFormat="false" ht="35.05" hidden="false" customHeight="false" outlineLevel="0" collapsed="false">
      <c r="A37" s="2" t="n">
        <v>36</v>
      </c>
      <c r="B37" s="2" t="s">
        <v>97</v>
      </c>
      <c r="C37" s="3" t="s">
        <v>98</v>
      </c>
      <c r="D37" s="2" t="s">
        <v>105</v>
      </c>
      <c r="E37" s="2" t="s">
        <v>21</v>
      </c>
      <c r="F37" s="2" t="s">
        <v>22</v>
      </c>
      <c r="G37" s="2" t="n">
        <v>292</v>
      </c>
      <c r="H37" s="2" t="s">
        <v>22</v>
      </c>
      <c r="I37" s="2" t="s">
        <v>23</v>
      </c>
      <c r="J37" s="2" t="n">
        <v>1755</v>
      </c>
      <c r="K37" s="2" t="n">
        <v>8911</v>
      </c>
      <c r="L37" s="2" t="n">
        <v>34331</v>
      </c>
      <c r="M37" s="2" t="n">
        <v>24</v>
      </c>
      <c r="N37" s="2" t="n">
        <v>4</v>
      </c>
      <c r="O37" s="2" t="n">
        <v>5</v>
      </c>
      <c r="P37" s="2" t="n">
        <v>0</v>
      </c>
      <c r="Q37" s="2" t="n">
        <v>5</v>
      </c>
      <c r="R37" s="3" t="s">
        <v>106</v>
      </c>
    </row>
    <row r="38" customFormat="false" ht="35.05" hidden="false" customHeight="false" outlineLevel="0" collapsed="false">
      <c r="A38" s="2" t="n">
        <v>37</v>
      </c>
      <c r="B38" s="2" t="s">
        <v>97</v>
      </c>
      <c r="C38" s="3" t="s">
        <v>98</v>
      </c>
      <c r="D38" s="2" t="s">
        <v>107</v>
      </c>
      <c r="E38" s="2" t="s">
        <v>21</v>
      </c>
      <c r="F38" s="2" t="s">
        <v>22</v>
      </c>
      <c r="G38" s="2" t="n">
        <v>264</v>
      </c>
      <c r="H38" s="2" t="s">
        <v>22</v>
      </c>
      <c r="I38" s="2" t="s">
        <v>23</v>
      </c>
      <c r="J38" s="2" t="n">
        <v>2825</v>
      </c>
      <c r="K38" s="2" t="n">
        <v>13927</v>
      </c>
      <c r="L38" s="2" t="n">
        <v>37921</v>
      </c>
      <c r="M38" s="2" t="n">
        <v>39</v>
      </c>
      <c r="N38" s="2" t="n">
        <v>6</v>
      </c>
      <c r="O38" s="2" t="n">
        <v>7</v>
      </c>
      <c r="P38" s="2" t="n">
        <v>0</v>
      </c>
      <c r="Q38" s="2" t="n">
        <v>6</v>
      </c>
      <c r="R38" s="3" t="s">
        <v>108</v>
      </c>
    </row>
    <row r="39" customFormat="false" ht="35.05" hidden="false" customHeight="false" outlineLevel="0" collapsed="false">
      <c r="A39" s="2" t="n">
        <v>38</v>
      </c>
      <c r="B39" s="2" t="s">
        <v>97</v>
      </c>
      <c r="C39" s="3" t="s">
        <v>98</v>
      </c>
      <c r="D39" s="2" t="s">
        <v>109</v>
      </c>
      <c r="E39" s="2" t="s">
        <v>21</v>
      </c>
      <c r="F39" s="2" t="s">
        <v>22</v>
      </c>
      <c r="G39" s="2" t="n">
        <v>271</v>
      </c>
      <c r="H39" s="2" t="s">
        <v>22</v>
      </c>
      <c r="I39" s="2" t="s">
        <v>23</v>
      </c>
      <c r="J39" s="2" t="n">
        <v>2647</v>
      </c>
      <c r="K39" s="2" t="n">
        <v>13184</v>
      </c>
      <c r="L39" s="2" t="n">
        <v>37001</v>
      </c>
      <c r="M39" s="2" t="n">
        <v>40</v>
      </c>
      <c r="N39" s="2" t="n">
        <v>5</v>
      </c>
      <c r="O39" s="2" t="n">
        <v>6</v>
      </c>
      <c r="P39" s="2" t="n">
        <v>0</v>
      </c>
      <c r="Q39" s="2" t="n">
        <v>5</v>
      </c>
      <c r="R39" s="3" t="s">
        <v>110</v>
      </c>
    </row>
    <row r="40" customFormat="false" ht="35.05" hidden="false" customHeight="false" outlineLevel="0" collapsed="false">
      <c r="A40" s="2" t="n">
        <v>39</v>
      </c>
      <c r="B40" s="2" t="s">
        <v>97</v>
      </c>
      <c r="C40" s="3" t="s">
        <v>98</v>
      </c>
      <c r="D40" s="2" t="s">
        <v>111</v>
      </c>
      <c r="E40" s="2" t="s">
        <v>21</v>
      </c>
      <c r="F40" s="2" t="s">
        <v>22</v>
      </c>
      <c r="G40" s="2" t="n">
        <v>265</v>
      </c>
      <c r="H40" s="2" t="s">
        <v>22</v>
      </c>
      <c r="I40" s="2" t="s">
        <v>23</v>
      </c>
      <c r="J40" s="2" t="n">
        <v>3077</v>
      </c>
      <c r="K40" s="2" t="n">
        <v>15353</v>
      </c>
      <c r="L40" s="2" t="n">
        <v>38360</v>
      </c>
      <c r="M40" s="2" t="n">
        <v>39</v>
      </c>
      <c r="N40" s="2" t="n">
        <v>6</v>
      </c>
      <c r="O40" s="2" t="n">
        <v>7</v>
      </c>
      <c r="P40" s="2" t="n">
        <v>1</v>
      </c>
      <c r="Q40" s="2" t="n">
        <v>3</v>
      </c>
      <c r="R40" s="3" t="s">
        <v>112</v>
      </c>
    </row>
    <row r="41" customFormat="false" ht="35.05" hidden="false" customHeight="false" outlineLevel="0" collapsed="false">
      <c r="A41" s="2" t="n">
        <v>40</v>
      </c>
      <c r="B41" s="2" t="s">
        <v>97</v>
      </c>
      <c r="C41" s="3" t="s">
        <v>98</v>
      </c>
      <c r="D41" s="2" t="s">
        <v>113</v>
      </c>
      <c r="E41" s="2" t="s">
        <v>21</v>
      </c>
      <c r="F41" s="2" t="s">
        <v>22</v>
      </c>
      <c r="G41" s="2" t="n">
        <v>301</v>
      </c>
      <c r="H41" s="2" t="s">
        <v>22</v>
      </c>
      <c r="I41" s="2" t="s">
        <v>23</v>
      </c>
      <c r="J41" s="2" t="n">
        <v>2712</v>
      </c>
      <c r="K41" s="2" t="n">
        <v>13602</v>
      </c>
      <c r="L41" s="2" t="n">
        <v>36460</v>
      </c>
      <c r="M41" s="2" t="n">
        <v>39</v>
      </c>
      <c r="N41" s="2" t="n">
        <v>6</v>
      </c>
      <c r="O41" s="2" t="n">
        <v>7</v>
      </c>
      <c r="P41" s="2" t="n">
        <v>2</v>
      </c>
      <c r="Q41" s="2" t="n">
        <v>5</v>
      </c>
      <c r="R41" s="3" t="s">
        <v>114</v>
      </c>
    </row>
    <row r="42" customFormat="false" ht="35.05" hidden="false" customHeight="false" outlineLevel="0" collapsed="false">
      <c r="A42" s="2" t="n">
        <v>41</v>
      </c>
      <c r="B42" s="2" t="s">
        <v>97</v>
      </c>
      <c r="C42" s="3" t="s">
        <v>98</v>
      </c>
      <c r="D42" s="2" t="s">
        <v>115</v>
      </c>
      <c r="E42" s="2" t="s">
        <v>64</v>
      </c>
      <c r="F42" s="2" t="s">
        <v>22</v>
      </c>
      <c r="G42" s="2" t="n">
        <v>287</v>
      </c>
      <c r="H42" s="2" t="s">
        <v>22</v>
      </c>
      <c r="I42" s="2" t="s">
        <v>23</v>
      </c>
      <c r="J42" s="2" t="n">
        <v>1748</v>
      </c>
      <c r="K42" s="2" t="n">
        <v>8882</v>
      </c>
      <c r="L42" s="2" t="n">
        <v>30659</v>
      </c>
      <c r="M42" s="2" t="n">
        <v>22</v>
      </c>
      <c r="N42" s="2" t="n">
        <v>4</v>
      </c>
      <c r="O42" s="2" t="n">
        <v>5</v>
      </c>
      <c r="P42" s="2" t="n">
        <v>0</v>
      </c>
      <c r="Q42" s="2" t="n">
        <v>6</v>
      </c>
      <c r="R42" s="3" t="s">
        <v>116</v>
      </c>
    </row>
    <row r="43" customFormat="false" ht="35.05" hidden="false" customHeight="false" outlineLevel="0" collapsed="false">
      <c r="A43" s="2" t="n">
        <v>42</v>
      </c>
      <c r="B43" s="2" t="s">
        <v>97</v>
      </c>
      <c r="C43" s="3" t="s">
        <v>98</v>
      </c>
      <c r="D43" s="2" t="s">
        <v>117</v>
      </c>
      <c r="E43" s="2" t="s">
        <v>21</v>
      </c>
      <c r="F43" s="2" t="s">
        <v>22</v>
      </c>
      <c r="G43" s="2" t="n">
        <v>226</v>
      </c>
      <c r="H43" s="2" t="s">
        <v>22</v>
      </c>
      <c r="I43" s="2" t="s">
        <v>23</v>
      </c>
      <c r="J43" s="2" t="n">
        <v>2951</v>
      </c>
      <c r="K43" s="2" t="n">
        <v>14678</v>
      </c>
      <c r="L43" s="2" t="n">
        <v>38554</v>
      </c>
      <c r="M43" s="2" t="n">
        <v>39</v>
      </c>
      <c r="N43" s="2" t="n">
        <v>7</v>
      </c>
      <c r="O43" s="2" t="n">
        <v>8</v>
      </c>
      <c r="P43" s="2" t="n">
        <v>0</v>
      </c>
      <c r="Q43" s="2" t="n">
        <v>6</v>
      </c>
      <c r="R43" s="3" t="s">
        <v>118</v>
      </c>
    </row>
    <row r="44" customFormat="false" ht="46.25" hidden="false" customHeight="false" outlineLevel="0" collapsed="false">
      <c r="A44" s="2" t="n">
        <v>43</v>
      </c>
      <c r="B44" s="2" t="s">
        <v>119</v>
      </c>
      <c r="C44" s="3" t="s">
        <v>120</v>
      </c>
      <c r="D44" s="2" t="s">
        <v>121</v>
      </c>
      <c r="E44" s="2" t="s">
        <v>21</v>
      </c>
      <c r="F44" s="2" t="s">
        <v>22</v>
      </c>
      <c r="G44" s="2" t="n">
        <v>390</v>
      </c>
      <c r="H44" s="2" t="s">
        <v>22</v>
      </c>
      <c r="I44" s="2" t="s">
        <v>23</v>
      </c>
      <c r="J44" s="2" t="n">
        <v>3454</v>
      </c>
      <c r="K44" s="2" t="n">
        <v>17177</v>
      </c>
      <c r="L44" s="2" t="n">
        <v>40065</v>
      </c>
      <c r="M44" s="2" t="n">
        <v>40</v>
      </c>
      <c r="N44" s="2" t="n">
        <v>6</v>
      </c>
      <c r="O44" s="2" t="n">
        <v>7</v>
      </c>
      <c r="P44" s="2" t="n">
        <v>1</v>
      </c>
      <c r="Q44" s="2" t="n">
        <v>3</v>
      </c>
      <c r="R44" s="3" t="s">
        <v>122</v>
      </c>
    </row>
    <row r="45" customFormat="false" ht="46.25" hidden="false" customHeight="false" outlineLevel="0" collapsed="false">
      <c r="A45" s="2" t="n">
        <v>44</v>
      </c>
      <c r="B45" s="2" t="s">
        <v>119</v>
      </c>
      <c r="C45" s="3" t="s">
        <v>120</v>
      </c>
      <c r="D45" s="2" t="s">
        <v>123</v>
      </c>
      <c r="E45" s="2" t="s">
        <v>21</v>
      </c>
      <c r="F45" s="2" t="s">
        <v>22</v>
      </c>
      <c r="G45" s="2" t="n">
        <v>341</v>
      </c>
      <c r="H45" s="2" t="s">
        <v>22</v>
      </c>
      <c r="I45" s="2" t="s">
        <v>23</v>
      </c>
      <c r="J45" s="2" t="n">
        <v>3407</v>
      </c>
      <c r="K45" s="2" t="n">
        <v>16725</v>
      </c>
      <c r="L45" s="2" t="n">
        <v>43978</v>
      </c>
      <c r="M45" s="2" t="n">
        <v>44</v>
      </c>
      <c r="N45" s="2" t="n">
        <v>7</v>
      </c>
      <c r="O45" s="2" t="n">
        <v>8</v>
      </c>
      <c r="P45" s="2" t="n">
        <v>0</v>
      </c>
      <c r="Q45" s="2" t="n">
        <v>3</v>
      </c>
      <c r="R45" s="3" t="s">
        <v>124</v>
      </c>
    </row>
    <row r="46" customFormat="false" ht="35.05" hidden="false" customHeight="false" outlineLevel="0" collapsed="false">
      <c r="A46" s="2" t="n">
        <v>45</v>
      </c>
      <c r="B46" s="2" t="s">
        <v>119</v>
      </c>
      <c r="C46" s="3" t="s">
        <v>120</v>
      </c>
      <c r="D46" s="2" t="s">
        <v>125</v>
      </c>
      <c r="E46" s="2" t="s">
        <v>64</v>
      </c>
      <c r="F46" s="2" t="s">
        <v>22</v>
      </c>
      <c r="G46" s="2" t="n">
        <v>317</v>
      </c>
      <c r="H46" s="2" t="s">
        <v>22</v>
      </c>
      <c r="I46" s="2" t="s">
        <v>23</v>
      </c>
      <c r="J46" s="2" t="n">
        <v>1837</v>
      </c>
      <c r="K46" s="2" t="n">
        <v>9411</v>
      </c>
      <c r="L46" s="2" t="n">
        <v>31217</v>
      </c>
      <c r="M46" s="2" t="n">
        <v>22</v>
      </c>
      <c r="N46" s="2" t="n">
        <v>4</v>
      </c>
      <c r="O46" s="2" t="n">
        <v>5</v>
      </c>
      <c r="P46" s="2" t="n">
        <v>0</v>
      </c>
      <c r="Q46" s="2" t="n">
        <v>6</v>
      </c>
      <c r="R46" s="3" t="s">
        <v>126</v>
      </c>
    </row>
    <row r="47" customFormat="false" ht="46.25" hidden="false" customHeight="false" outlineLevel="0" collapsed="false">
      <c r="A47" s="2" t="n">
        <v>46</v>
      </c>
      <c r="B47" s="2" t="s">
        <v>119</v>
      </c>
      <c r="C47" s="3" t="s">
        <v>120</v>
      </c>
      <c r="D47" s="2" t="s">
        <v>127</v>
      </c>
      <c r="E47" s="2" t="s">
        <v>21</v>
      </c>
      <c r="F47" s="2" t="s">
        <v>22</v>
      </c>
      <c r="G47" s="2" t="n">
        <v>384</v>
      </c>
      <c r="H47" s="2" t="s">
        <v>22</v>
      </c>
      <c r="I47" s="2" t="s">
        <v>23</v>
      </c>
      <c r="J47" s="2" t="n">
        <v>3338</v>
      </c>
      <c r="K47" s="2" t="n">
        <v>16670</v>
      </c>
      <c r="L47" s="2" t="n">
        <v>40658</v>
      </c>
      <c r="M47" s="2" t="n">
        <v>42</v>
      </c>
      <c r="N47" s="2" t="n">
        <v>6</v>
      </c>
      <c r="O47" s="2" t="n">
        <v>7</v>
      </c>
      <c r="P47" s="2" t="n">
        <v>0</v>
      </c>
      <c r="Q47" s="2" t="n">
        <v>3</v>
      </c>
      <c r="R47" s="3" t="s">
        <v>128</v>
      </c>
    </row>
    <row r="48" customFormat="false" ht="35.05" hidden="false" customHeight="false" outlineLevel="0" collapsed="false">
      <c r="A48" s="2" t="n">
        <v>47</v>
      </c>
      <c r="B48" s="2" t="s">
        <v>119</v>
      </c>
      <c r="C48" s="3" t="s">
        <v>120</v>
      </c>
      <c r="D48" s="2" t="s">
        <v>129</v>
      </c>
      <c r="E48" s="2" t="s">
        <v>64</v>
      </c>
      <c r="F48" s="2" t="s">
        <v>22</v>
      </c>
      <c r="G48" s="2" t="n">
        <v>300</v>
      </c>
      <c r="H48" s="2" t="s">
        <v>22</v>
      </c>
      <c r="I48" s="2" t="s">
        <v>23</v>
      </c>
      <c r="J48" s="2" t="n">
        <v>3251</v>
      </c>
      <c r="K48" s="2" t="n">
        <v>15890</v>
      </c>
      <c r="L48" s="2" t="n">
        <v>38208</v>
      </c>
      <c r="M48" s="2" t="n">
        <v>40</v>
      </c>
      <c r="N48" s="2" t="n">
        <v>6</v>
      </c>
      <c r="O48" s="2" t="n">
        <v>7</v>
      </c>
      <c r="P48" s="2" t="n">
        <v>0</v>
      </c>
      <c r="Q48" s="2" t="n">
        <v>3</v>
      </c>
      <c r="R48" s="3" t="s">
        <v>130</v>
      </c>
    </row>
    <row r="49" customFormat="false" ht="35.05" hidden="false" customHeight="false" outlineLevel="0" collapsed="false">
      <c r="A49" s="2" t="n">
        <v>48</v>
      </c>
      <c r="B49" s="2" t="s">
        <v>119</v>
      </c>
      <c r="C49" s="3" t="s">
        <v>120</v>
      </c>
      <c r="D49" s="2" t="s">
        <v>131</v>
      </c>
      <c r="E49" s="2" t="s">
        <v>64</v>
      </c>
      <c r="F49" s="2" t="s">
        <v>22</v>
      </c>
      <c r="G49" s="2" t="n">
        <v>273</v>
      </c>
      <c r="H49" s="2" t="s">
        <v>22</v>
      </c>
      <c r="I49" s="2" t="s">
        <v>23</v>
      </c>
      <c r="J49" s="2" t="n">
        <v>3409</v>
      </c>
      <c r="K49" s="2" t="n">
        <v>16815</v>
      </c>
      <c r="L49" s="2" t="n">
        <v>38897</v>
      </c>
      <c r="M49" s="2" t="n">
        <v>41</v>
      </c>
      <c r="N49" s="2" t="n">
        <v>6</v>
      </c>
      <c r="O49" s="2" t="n">
        <v>7</v>
      </c>
      <c r="P49" s="2" t="n">
        <v>0</v>
      </c>
      <c r="Q49" s="2" t="n">
        <v>3</v>
      </c>
      <c r="R49" s="3" t="s">
        <v>132</v>
      </c>
    </row>
    <row r="50" customFormat="false" ht="35.05" hidden="false" customHeight="false" outlineLevel="0" collapsed="false">
      <c r="A50" s="2" t="n">
        <v>49</v>
      </c>
      <c r="B50" s="2" t="s">
        <v>119</v>
      </c>
      <c r="C50" s="3" t="s">
        <v>120</v>
      </c>
      <c r="D50" s="2" t="s">
        <v>133</v>
      </c>
      <c r="E50" s="2" t="s">
        <v>64</v>
      </c>
      <c r="F50" s="2" t="s">
        <v>22</v>
      </c>
      <c r="G50" s="2" t="n">
        <v>296</v>
      </c>
      <c r="H50" s="2" t="s">
        <v>22</v>
      </c>
      <c r="I50" s="2" t="s">
        <v>23</v>
      </c>
      <c r="J50" s="2" t="n">
        <v>2671</v>
      </c>
      <c r="K50" s="2" t="n">
        <v>13350</v>
      </c>
      <c r="L50" s="2" t="n">
        <v>35812</v>
      </c>
      <c r="M50" s="2" t="n">
        <v>39</v>
      </c>
      <c r="N50" s="2" t="n">
        <v>5</v>
      </c>
      <c r="O50" s="2" t="n">
        <v>6</v>
      </c>
      <c r="P50" s="2" t="n">
        <v>1</v>
      </c>
      <c r="Q50" s="2" t="n">
        <v>4</v>
      </c>
      <c r="R50" s="3" t="s">
        <v>134</v>
      </c>
    </row>
    <row r="51" customFormat="false" ht="46.25" hidden="false" customHeight="false" outlineLevel="0" collapsed="false">
      <c r="A51" s="2" t="n">
        <v>50</v>
      </c>
      <c r="B51" s="2" t="s">
        <v>119</v>
      </c>
      <c r="C51" s="3" t="s">
        <v>120</v>
      </c>
      <c r="D51" s="2" t="s">
        <v>135</v>
      </c>
      <c r="E51" s="2" t="s">
        <v>21</v>
      </c>
      <c r="F51" s="2" t="s">
        <v>22</v>
      </c>
      <c r="G51" s="2" t="n">
        <v>394</v>
      </c>
      <c r="H51" s="2" t="s">
        <v>22</v>
      </c>
      <c r="I51" s="2" t="s">
        <v>23</v>
      </c>
      <c r="J51" s="2" t="n">
        <v>2900</v>
      </c>
      <c r="K51" s="2" t="n">
        <v>14545</v>
      </c>
      <c r="L51" s="2" t="n">
        <v>37274</v>
      </c>
      <c r="M51" s="2" t="n">
        <v>41</v>
      </c>
      <c r="N51" s="2" t="n">
        <v>6</v>
      </c>
      <c r="O51" s="2" t="n">
        <v>7</v>
      </c>
      <c r="P51" s="2" t="n">
        <v>1</v>
      </c>
      <c r="Q51" s="2" t="n">
        <v>6</v>
      </c>
      <c r="R51" s="3" t="s">
        <v>136</v>
      </c>
    </row>
    <row r="52" customFormat="false" ht="46.25" hidden="false" customHeight="false" outlineLevel="0" collapsed="false">
      <c r="A52" s="2" t="n">
        <v>51</v>
      </c>
      <c r="B52" s="2" t="s">
        <v>119</v>
      </c>
      <c r="C52" s="3" t="s">
        <v>120</v>
      </c>
      <c r="D52" s="2" t="s">
        <v>137</v>
      </c>
      <c r="E52" s="2" t="s">
        <v>21</v>
      </c>
      <c r="F52" s="2" t="s">
        <v>22</v>
      </c>
      <c r="G52" s="2" t="n">
        <v>365</v>
      </c>
      <c r="H52" s="2" t="s">
        <v>22</v>
      </c>
      <c r="I52" s="2" t="s">
        <v>23</v>
      </c>
      <c r="J52" s="2" t="n">
        <v>3685</v>
      </c>
      <c r="K52" s="2" t="n">
        <v>18380</v>
      </c>
      <c r="L52" s="2" t="n">
        <v>43208</v>
      </c>
      <c r="M52" s="2" t="n">
        <v>41</v>
      </c>
      <c r="N52" s="2" t="n">
        <v>6</v>
      </c>
      <c r="O52" s="2" t="n">
        <v>7</v>
      </c>
      <c r="P52" s="2" t="n">
        <v>1</v>
      </c>
      <c r="Q52" s="2" t="n">
        <v>3</v>
      </c>
      <c r="R52" s="3" t="s">
        <v>138</v>
      </c>
    </row>
    <row r="53" customFormat="false" ht="46.25" hidden="false" customHeight="false" outlineLevel="0" collapsed="false">
      <c r="A53" s="2" t="n">
        <v>52</v>
      </c>
      <c r="B53" s="2" t="s">
        <v>119</v>
      </c>
      <c r="C53" s="3" t="s">
        <v>120</v>
      </c>
      <c r="D53" s="2" t="s">
        <v>139</v>
      </c>
      <c r="E53" s="2" t="s">
        <v>21</v>
      </c>
      <c r="F53" s="2" t="s">
        <v>22</v>
      </c>
      <c r="G53" s="2" t="n">
        <v>314</v>
      </c>
      <c r="H53" s="2" t="s">
        <v>22</v>
      </c>
      <c r="I53" s="2" t="s">
        <v>23</v>
      </c>
      <c r="J53" s="2" t="n">
        <v>3480</v>
      </c>
      <c r="K53" s="2" t="n">
        <v>17355</v>
      </c>
      <c r="L53" s="2" t="n">
        <v>40782</v>
      </c>
      <c r="M53" s="2" t="n">
        <v>41</v>
      </c>
      <c r="N53" s="2" t="n">
        <v>7</v>
      </c>
      <c r="O53" s="2" t="n">
        <v>8</v>
      </c>
      <c r="P53" s="2" t="n">
        <v>0</v>
      </c>
      <c r="Q53" s="2" t="n">
        <v>3</v>
      </c>
      <c r="R53" s="3" t="s">
        <v>140</v>
      </c>
    </row>
    <row r="54" customFormat="false" ht="46.25" hidden="false" customHeight="false" outlineLevel="0" collapsed="false">
      <c r="A54" s="2" t="n">
        <v>53</v>
      </c>
      <c r="B54" s="2" t="s">
        <v>119</v>
      </c>
      <c r="C54" s="3" t="s">
        <v>120</v>
      </c>
      <c r="D54" s="2" t="s">
        <v>141</v>
      </c>
      <c r="E54" s="2" t="s">
        <v>21</v>
      </c>
      <c r="F54" s="2" t="s">
        <v>22</v>
      </c>
      <c r="G54" s="2" t="n">
        <v>321</v>
      </c>
      <c r="H54" s="2" t="s">
        <v>22</v>
      </c>
      <c r="I54" s="2" t="s">
        <v>23</v>
      </c>
      <c r="J54" s="2" t="n">
        <v>3326</v>
      </c>
      <c r="K54" s="2" t="n">
        <v>16545</v>
      </c>
      <c r="L54" s="2" t="n">
        <v>41113</v>
      </c>
      <c r="M54" s="2" t="n">
        <v>40</v>
      </c>
      <c r="N54" s="2" t="n">
        <v>5</v>
      </c>
      <c r="O54" s="2" t="n">
        <v>6</v>
      </c>
      <c r="P54" s="2" t="n">
        <v>1</v>
      </c>
      <c r="Q54" s="2" t="n">
        <v>3</v>
      </c>
      <c r="R54" s="3" t="s">
        <v>142</v>
      </c>
    </row>
    <row r="55" customFormat="false" ht="35.05" hidden="false" customHeight="false" outlineLevel="0" collapsed="false">
      <c r="A55" s="2" t="n">
        <v>54</v>
      </c>
      <c r="B55" s="2" t="s">
        <v>119</v>
      </c>
      <c r="C55" s="3" t="s">
        <v>120</v>
      </c>
      <c r="D55" s="2" t="s">
        <v>143</v>
      </c>
      <c r="E55" s="2" t="s">
        <v>21</v>
      </c>
      <c r="F55" s="2" t="s">
        <v>22</v>
      </c>
      <c r="G55" s="2" t="n">
        <v>254</v>
      </c>
      <c r="H55" s="2" t="s">
        <v>22</v>
      </c>
      <c r="I55" s="2" t="s">
        <v>23</v>
      </c>
      <c r="J55" s="2" t="n">
        <v>3230</v>
      </c>
      <c r="K55" s="2" t="n">
        <v>16101</v>
      </c>
      <c r="L55" s="2" t="n">
        <v>40736</v>
      </c>
      <c r="M55" s="2" t="n">
        <v>42</v>
      </c>
      <c r="N55" s="2" t="n">
        <v>5</v>
      </c>
      <c r="O55" s="2" t="n">
        <v>6</v>
      </c>
      <c r="P55" s="2" t="n">
        <v>1</v>
      </c>
      <c r="Q55" s="2" t="n">
        <v>4</v>
      </c>
      <c r="R55" s="3" t="s">
        <v>144</v>
      </c>
    </row>
    <row r="56" customFormat="false" ht="35.05" hidden="false" customHeight="false" outlineLevel="0" collapsed="false">
      <c r="A56" s="2" t="n">
        <v>55</v>
      </c>
      <c r="B56" s="2" t="s">
        <v>119</v>
      </c>
      <c r="C56" s="3" t="s">
        <v>120</v>
      </c>
      <c r="D56" s="2" t="s">
        <v>145</v>
      </c>
      <c r="E56" s="2" t="s">
        <v>21</v>
      </c>
      <c r="F56" s="2" t="s">
        <v>22</v>
      </c>
      <c r="G56" s="2" t="n">
        <v>270</v>
      </c>
      <c r="H56" s="2" t="s">
        <v>22</v>
      </c>
      <c r="I56" s="2" t="s">
        <v>23</v>
      </c>
      <c r="J56" s="2" t="n">
        <v>3233</v>
      </c>
      <c r="K56" s="2" t="n">
        <v>15965</v>
      </c>
      <c r="L56" s="2" t="n">
        <v>40206</v>
      </c>
      <c r="M56" s="2" t="n">
        <v>42</v>
      </c>
      <c r="N56" s="2" t="n">
        <v>5</v>
      </c>
      <c r="O56" s="2" t="n">
        <v>6</v>
      </c>
      <c r="P56" s="2" t="n">
        <v>1</v>
      </c>
      <c r="Q56" s="2" t="n">
        <v>4</v>
      </c>
      <c r="R56" s="3" t="s">
        <v>146</v>
      </c>
    </row>
    <row r="57" customFormat="false" ht="35.05" hidden="false" customHeight="false" outlineLevel="0" collapsed="false">
      <c r="A57" s="2" t="n">
        <v>56</v>
      </c>
      <c r="B57" s="2" t="s">
        <v>119</v>
      </c>
      <c r="C57" s="3" t="s">
        <v>120</v>
      </c>
      <c r="D57" s="2" t="s">
        <v>147</v>
      </c>
      <c r="E57" s="2" t="s">
        <v>21</v>
      </c>
      <c r="F57" s="2" t="s">
        <v>22</v>
      </c>
      <c r="G57" s="2" t="n">
        <v>301</v>
      </c>
      <c r="H57" s="2" t="s">
        <v>22</v>
      </c>
      <c r="I57" s="2" t="s">
        <v>23</v>
      </c>
      <c r="J57" s="2" t="n">
        <v>1816</v>
      </c>
      <c r="K57" s="2" t="n">
        <v>9302</v>
      </c>
      <c r="L57" s="2" t="n">
        <v>34700</v>
      </c>
      <c r="M57" s="2" t="n">
        <v>24</v>
      </c>
      <c r="N57" s="2" t="n">
        <v>4</v>
      </c>
      <c r="O57" s="2" t="n">
        <v>5</v>
      </c>
      <c r="P57" s="2" t="n">
        <v>0</v>
      </c>
      <c r="Q57" s="2" t="n">
        <v>5</v>
      </c>
      <c r="R57" s="3" t="s">
        <v>148</v>
      </c>
    </row>
    <row r="58" customFormat="false" ht="35.05" hidden="false" customHeight="false" outlineLevel="0" collapsed="false">
      <c r="A58" s="2" t="n">
        <v>57</v>
      </c>
      <c r="B58" s="2" t="s">
        <v>119</v>
      </c>
      <c r="C58" s="3" t="s">
        <v>120</v>
      </c>
      <c r="D58" s="2" t="s">
        <v>149</v>
      </c>
      <c r="E58" s="2" t="s">
        <v>64</v>
      </c>
      <c r="F58" s="2" t="s">
        <v>22</v>
      </c>
      <c r="G58" s="2" t="n">
        <v>288</v>
      </c>
      <c r="H58" s="2" t="s">
        <v>22</v>
      </c>
      <c r="I58" s="2" t="s">
        <v>23</v>
      </c>
      <c r="J58" s="2" t="n">
        <v>1778</v>
      </c>
      <c r="K58" s="2" t="n">
        <v>9062</v>
      </c>
      <c r="L58" s="2" t="n">
        <v>30793</v>
      </c>
      <c r="M58" s="2" t="n">
        <v>22</v>
      </c>
      <c r="N58" s="2" t="n">
        <v>4</v>
      </c>
      <c r="O58" s="2" t="n">
        <v>5</v>
      </c>
      <c r="P58" s="2" t="n">
        <v>0</v>
      </c>
      <c r="Q58" s="2" t="n">
        <v>6</v>
      </c>
      <c r="R58" s="3" t="s">
        <v>150</v>
      </c>
    </row>
    <row r="59" customFormat="false" ht="46.25" hidden="false" customHeight="false" outlineLevel="0" collapsed="false">
      <c r="A59" s="2" t="n">
        <v>58</v>
      </c>
      <c r="B59" s="2" t="s">
        <v>119</v>
      </c>
      <c r="C59" s="3" t="s">
        <v>120</v>
      </c>
      <c r="D59" s="2" t="s">
        <v>151</v>
      </c>
      <c r="E59" s="2" t="s">
        <v>64</v>
      </c>
      <c r="F59" s="2" t="s">
        <v>22</v>
      </c>
      <c r="G59" s="2" t="n">
        <v>374</v>
      </c>
      <c r="H59" s="2" t="s">
        <v>22</v>
      </c>
      <c r="I59" s="2" t="s">
        <v>23</v>
      </c>
      <c r="J59" s="2" t="n">
        <v>3283</v>
      </c>
      <c r="K59" s="2" t="n">
        <v>16465</v>
      </c>
      <c r="L59" s="2" t="n">
        <v>42204</v>
      </c>
      <c r="M59" s="2" t="n">
        <v>42</v>
      </c>
      <c r="N59" s="2" t="n">
        <v>5</v>
      </c>
      <c r="O59" s="2" t="n">
        <v>6</v>
      </c>
      <c r="P59" s="2" t="n">
        <v>1</v>
      </c>
      <c r="Q59" s="2" t="n">
        <v>3</v>
      </c>
      <c r="R59" s="3" t="s">
        <v>152</v>
      </c>
    </row>
    <row r="60" customFormat="false" ht="46.25" hidden="false" customHeight="false" outlineLevel="0" collapsed="false">
      <c r="A60" s="2" t="n">
        <v>59</v>
      </c>
      <c r="B60" s="2" t="s">
        <v>119</v>
      </c>
      <c r="C60" s="3" t="s">
        <v>120</v>
      </c>
      <c r="D60" s="2" t="s">
        <v>153</v>
      </c>
      <c r="E60" s="2" t="s">
        <v>21</v>
      </c>
      <c r="F60" s="2" t="s">
        <v>22</v>
      </c>
      <c r="G60" s="2" t="n">
        <v>315</v>
      </c>
      <c r="H60" s="2" t="s">
        <v>22</v>
      </c>
      <c r="I60" s="2" t="s">
        <v>23</v>
      </c>
      <c r="J60" s="2" t="n">
        <v>3421</v>
      </c>
      <c r="K60" s="2" t="n">
        <v>16891</v>
      </c>
      <c r="L60" s="2" t="n">
        <v>40376</v>
      </c>
      <c r="M60" s="2" t="n">
        <v>42</v>
      </c>
      <c r="N60" s="2" t="n">
        <v>6</v>
      </c>
      <c r="O60" s="2" t="n">
        <v>7</v>
      </c>
      <c r="P60" s="2" t="n">
        <v>0</v>
      </c>
      <c r="Q60" s="2" t="n">
        <v>3</v>
      </c>
      <c r="R60" s="3" t="s">
        <v>154</v>
      </c>
    </row>
    <row r="61" customFormat="false" ht="46.25" hidden="false" customHeight="false" outlineLevel="0" collapsed="false">
      <c r="A61" s="2" t="n">
        <v>60</v>
      </c>
      <c r="B61" s="2" t="s">
        <v>155</v>
      </c>
      <c r="C61" s="3" t="s">
        <v>156</v>
      </c>
      <c r="D61" s="2" t="s">
        <v>157</v>
      </c>
      <c r="E61" s="2" t="s">
        <v>21</v>
      </c>
      <c r="F61" s="2" t="s">
        <v>22</v>
      </c>
      <c r="G61" s="2" t="n">
        <v>329</v>
      </c>
      <c r="H61" s="2" t="s">
        <v>22</v>
      </c>
      <c r="I61" s="2" t="s">
        <v>23</v>
      </c>
      <c r="J61" s="2" t="n">
        <v>1906</v>
      </c>
      <c r="K61" s="2" t="n">
        <v>9673</v>
      </c>
      <c r="L61" s="2" t="n">
        <v>35065</v>
      </c>
      <c r="M61" s="2" t="n">
        <v>24</v>
      </c>
      <c r="N61" s="2" t="n">
        <v>4</v>
      </c>
      <c r="O61" s="2" t="n">
        <v>5</v>
      </c>
      <c r="P61" s="2" t="n">
        <v>0</v>
      </c>
      <c r="Q61" s="2" t="n">
        <v>5</v>
      </c>
      <c r="R61" s="3" t="s">
        <v>158</v>
      </c>
    </row>
    <row r="62" customFormat="false" ht="35.05" hidden="false" customHeight="false" outlineLevel="0" collapsed="false">
      <c r="A62" s="2" t="n">
        <v>61</v>
      </c>
      <c r="B62" s="2" t="s">
        <v>155</v>
      </c>
      <c r="C62" s="3" t="s">
        <v>156</v>
      </c>
      <c r="D62" s="2" t="s">
        <v>159</v>
      </c>
      <c r="E62" s="2" t="s">
        <v>21</v>
      </c>
      <c r="F62" s="2" t="s">
        <v>22</v>
      </c>
      <c r="G62" s="2" t="n">
        <v>294</v>
      </c>
      <c r="H62" s="2" t="s">
        <v>22</v>
      </c>
      <c r="I62" s="2" t="s">
        <v>22</v>
      </c>
      <c r="J62" s="2" t="n">
        <v>2656</v>
      </c>
      <c r="K62" s="2" t="n">
        <v>13134</v>
      </c>
      <c r="L62" s="2" t="n">
        <v>35880</v>
      </c>
      <c r="M62" s="2" t="n">
        <v>41</v>
      </c>
      <c r="N62" s="2" t="n">
        <v>5</v>
      </c>
      <c r="O62" s="2" t="n">
        <v>6</v>
      </c>
      <c r="P62" s="2" t="n">
        <v>1</v>
      </c>
      <c r="Q62" s="2" t="n">
        <v>5</v>
      </c>
      <c r="R62" s="3" t="s">
        <v>160</v>
      </c>
    </row>
    <row r="63" customFormat="false" ht="35.05" hidden="false" customHeight="false" outlineLevel="0" collapsed="false">
      <c r="A63" s="2" t="n">
        <v>62</v>
      </c>
      <c r="B63" s="2" t="s">
        <v>155</v>
      </c>
      <c r="C63" s="3" t="s">
        <v>156</v>
      </c>
      <c r="D63" s="2" t="s">
        <v>161</v>
      </c>
      <c r="E63" s="2" t="s">
        <v>21</v>
      </c>
      <c r="F63" s="2" t="s">
        <v>22</v>
      </c>
      <c r="G63" s="2" t="n">
        <v>278</v>
      </c>
      <c r="H63" s="2" t="s">
        <v>22</v>
      </c>
      <c r="I63" s="2" t="s">
        <v>23</v>
      </c>
      <c r="J63" s="2" t="n">
        <v>2538</v>
      </c>
      <c r="K63" s="2" t="n">
        <v>12520</v>
      </c>
      <c r="L63" s="2" t="n">
        <v>36590</v>
      </c>
      <c r="M63" s="2" t="n">
        <v>42</v>
      </c>
      <c r="N63" s="2" t="n">
        <v>5</v>
      </c>
      <c r="O63" s="2" t="n">
        <v>6</v>
      </c>
      <c r="P63" s="2" t="n">
        <v>0</v>
      </c>
      <c r="Q63" s="2" t="n">
        <v>5</v>
      </c>
      <c r="R63" s="3" t="s">
        <v>162</v>
      </c>
    </row>
    <row r="64" customFormat="false" ht="46.25" hidden="false" customHeight="false" outlineLevel="0" collapsed="false">
      <c r="A64" s="2" t="n">
        <v>63</v>
      </c>
      <c r="B64" s="2" t="s">
        <v>155</v>
      </c>
      <c r="C64" s="3" t="s">
        <v>156</v>
      </c>
      <c r="D64" s="2" t="s">
        <v>163</v>
      </c>
      <c r="E64" s="2" t="s">
        <v>21</v>
      </c>
      <c r="F64" s="2" t="s">
        <v>22</v>
      </c>
      <c r="G64" s="2" t="n">
        <v>337</v>
      </c>
      <c r="H64" s="2" t="s">
        <v>22</v>
      </c>
      <c r="I64" s="2" t="s">
        <v>23</v>
      </c>
      <c r="J64" s="2" t="n">
        <v>2414</v>
      </c>
      <c r="K64" s="2" t="n">
        <v>12266</v>
      </c>
      <c r="L64" s="2" t="n">
        <v>36086</v>
      </c>
      <c r="M64" s="2" t="n">
        <v>41</v>
      </c>
      <c r="N64" s="2" t="n">
        <v>4</v>
      </c>
      <c r="O64" s="2" t="n">
        <v>5</v>
      </c>
      <c r="P64" s="2" t="n">
        <v>1</v>
      </c>
      <c r="Q64" s="2" t="n">
        <v>5</v>
      </c>
      <c r="R64" s="3" t="s">
        <v>164</v>
      </c>
    </row>
    <row r="65" customFormat="false" ht="46.25" hidden="false" customHeight="false" outlineLevel="0" collapsed="false">
      <c r="A65" s="2" t="n">
        <v>64</v>
      </c>
      <c r="B65" s="2" t="s">
        <v>155</v>
      </c>
      <c r="C65" s="3" t="s">
        <v>156</v>
      </c>
      <c r="D65" s="2" t="s">
        <v>165</v>
      </c>
      <c r="E65" s="2" t="s">
        <v>64</v>
      </c>
      <c r="F65" s="2" t="s">
        <v>22</v>
      </c>
      <c r="G65" s="2" t="n">
        <v>326</v>
      </c>
      <c r="H65" s="2" t="s">
        <v>22</v>
      </c>
      <c r="I65" s="2" t="s">
        <v>23</v>
      </c>
      <c r="J65" s="2" t="n">
        <v>1824</v>
      </c>
      <c r="K65" s="2" t="n">
        <v>9378</v>
      </c>
      <c r="L65" s="2" t="n">
        <v>31188</v>
      </c>
      <c r="M65" s="2" t="n">
        <v>22</v>
      </c>
      <c r="N65" s="2" t="n">
        <v>4</v>
      </c>
      <c r="O65" s="2" t="n">
        <v>5</v>
      </c>
      <c r="P65" s="2" t="n">
        <v>0</v>
      </c>
      <c r="Q65" s="2" t="n">
        <v>6</v>
      </c>
      <c r="R65" s="3" t="s">
        <v>166</v>
      </c>
    </row>
    <row r="66" customFormat="false" ht="35.05" hidden="false" customHeight="false" outlineLevel="0" collapsed="false">
      <c r="A66" s="2" t="n">
        <v>65</v>
      </c>
      <c r="B66" s="2" t="s">
        <v>167</v>
      </c>
      <c r="C66" s="3" t="s">
        <v>168</v>
      </c>
      <c r="D66" s="2" t="s">
        <v>169</v>
      </c>
      <c r="E66" s="2" t="s">
        <v>21</v>
      </c>
      <c r="F66" s="2" t="s">
        <v>22</v>
      </c>
      <c r="G66" s="2" t="n">
        <v>309</v>
      </c>
      <c r="H66" s="2" t="s">
        <v>22</v>
      </c>
      <c r="I66" s="2" t="s">
        <v>23</v>
      </c>
      <c r="J66" s="2" t="n">
        <v>1871</v>
      </c>
      <c r="K66" s="2" t="n">
        <v>9531</v>
      </c>
      <c r="L66" s="2" t="n">
        <v>34927</v>
      </c>
      <c r="M66" s="2" t="n">
        <v>24</v>
      </c>
      <c r="N66" s="2" t="n">
        <v>4</v>
      </c>
      <c r="O66" s="2" t="n">
        <v>5</v>
      </c>
      <c r="P66" s="2" t="n">
        <v>0</v>
      </c>
      <c r="Q66" s="2" t="n">
        <v>5</v>
      </c>
      <c r="R66" s="3" t="s">
        <v>170</v>
      </c>
    </row>
    <row r="67" customFormat="false" ht="35.05" hidden="false" customHeight="false" outlineLevel="0" collapsed="false">
      <c r="A67" s="2" t="n">
        <v>66</v>
      </c>
      <c r="B67" s="2" t="s">
        <v>167</v>
      </c>
      <c r="C67" s="3" t="s">
        <v>168</v>
      </c>
      <c r="D67" s="2" t="s">
        <v>171</v>
      </c>
      <c r="E67" s="2" t="s">
        <v>21</v>
      </c>
      <c r="F67" s="2" t="s">
        <v>22</v>
      </c>
      <c r="G67" s="2" t="n">
        <v>294</v>
      </c>
      <c r="H67" s="2" t="s">
        <v>22</v>
      </c>
      <c r="I67" s="2" t="s">
        <v>23</v>
      </c>
      <c r="J67" s="2" t="n">
        <v>2726</v>
      </c>
      <c r="K67" s="2" t="n">
        <v>13550</v>
      </c>
      <c r="L67" s="2" t="n">
        <v>37615</v>
      </c>
      <c r="M67" s="2" t="n">
        <v>39</v>
      </c>
      <c r="N67" s="2" t="n">
        <v>6</v>
      </c>
      <c r="O67" s="2" t="n">
        <v>7</v>
      </c>
      <c r="P67" s="2" t="n">
        <v>0</v>
      </c>
      <c r="Q67" s="2" t="n">
        <v>3</v>
      </c>
      <c r="R67" s="3" t="s">
        <v>172</v>
      </c>
    </row>
    <row r="68" customFormat="false" ht="35.05" hidden="false" customHeight="false" outlineLevel="0" collapsed="false">
      <c r="A68" s="2" t="n">
        <v>67</v>
      </c>
      <c r="B68" s="2" t="s">
        <v>167</v>
      </c>
      <c r="C68" s="3" t="s">
        <v>168</v>
      </c>
      <c r="D68" s="2" t="s">
        <v>173</v>
      </c>
      <c r="E68" s="2" t="s">
        <v>21</v>
      </c>
      <c r="F68" s="2" t="s">
        <v>22</v>
      </c>
      <c r="G68" s="2" t="n">
        <v>287</v>
      </c>
      <c r="H68" s="2" t="s">
        <v>22</v>
      </c>
      <c r="I68" s="2" t="s">
        <v>23</v>
      </c>
      <c r="J68" s="2" t="n">
        <v>1796</v>
      </c>
      <c r="K68" s="2" t="n">
        <v>9188</v>
      </c>
      <c r="L68" s="2" t="n">
        <v>34553</v>
      </c>
      <c r="M68" s="2" t="n">
        <v>24</v>
      </c>
      <c r="N68" s="2" t="n">
        <v>4</v>
      </c>
      <c r="O68" s="2" t="n">
        <v>5</v>
      </c>
      <c r="P68" s="2" t="n">
        <v>0</v>
      </c>
      <c r="Q68" s="2" t="n">
        <v>5</v>
      </c>
      <c r="R68" s="3" t="s">
        <v>174</v>
      </c>
    </row>
    <row r="69" customFormat="false" ht="46.25" hidden="false" customHeight="false" outlineLevel="0" collapsed="false">
      <c r="A69" s="2" t="n">
        <v>68</v>
      </c>
      <c r="B69" s="2" t="s">
        <v>167</v>
      </c>
      <c r="C69" s="3" t="s">
        <v>168</v>
      </c>
      <c r="D69" s="2" t="s">
        <v>175</v>
      </c>
      <c r="E69" s="2" t="s">
        <v>21</v>
      </c>
      <c r="F69" s="2" t="s">
        <v>22</v>
      </c>
      <c r="G69" s="2" t="n">
        <v>351</v>
      </c>
      <c r="H69" s="2" t="s">
        <v>22</v>
      </c>
      <c r="I69" s="2" t="s">
        <v>23</v>
      </c>
      <c r="J69" s="2" t="n">
        <v>1856</v>
      </c>
      <c r="K69" s="2" t="n">
        <v>9370</v>
      </c>
      <c r="L69" s="2" t="n">
        <v>34785</v>
      </c>
      <c r="M69" s="2" t="n">
        <v>24</v>
      </c>
      <c r="N69" s="2" t="n">
        <v>4</v>
      </c>
      <c r="O69" s="2" t="n">
        <v>5</v>
      </c>
      <c r="P69" s="2" t="n">
        <v>0</v>
      </c>
      <c r="Q69" s="2" t="n">
        <v>5</v>
      </c>
      <c r="R69" s="3" t="s">
        <v>176</v>
      </c>
    </row>
    <row r="70" customFormat="false" ht="35.05" hidden="false" customHeight="false" outlineLevel="0" collapsed="false">
      <c r="A70" s="2" t="n">
        <v>69</v>
      </c>
      <c r="B70" s="2" t="s">
        <v>167</v>
      </c>
      <c r="C70" s="3" t="s">
        <v>168</v>
      </c>
      <c r="D70" s="2" t="s">
        <v>177</v>
      </c>
      <c r="E70" s="2" t="s">
        <v>21</v>
      </c>
      <c r="F70" s="2" t="s">
        <v>22</v>
      </c>
      <c r="G70" s="2" t="n">
        <v>285</v>
      </c>
      <c r="H70" s="2" t="s">
        <v>22</v>
      </c>
      <c r="I70" s="2" t="s">
        <v>23</v>
      </c>
      <c r="J70" s="2" t="n">
        <v>2957</v>
      </c>
      <c r="K70" s="2" t="n">
        <v>14718</v>
      </c>
      <c r="L70" s="2" t="n">
        <v>38692</v>
      </c>
      <c r="M70" s="2" t="n">
        <v>41</v>
      </c>
      <c r="N70" s="2" t="n">
        <v>6</v>
      </c>
      <c r="O70" s="2" t="n">
        <v>7</v>
      </c>
      <c r="P70" s="2" t="n">
        <v>2</v>
      </c>
      <c r="Q70" s="2" t="n">
        <v>3</v>
      </c>
      <c r="R70" s="3" t="s">
        <v>178</v>
      </c>
    </row>
    <row r="71" customFormat="false" ht="35.05" hidden="false" customHeight="false" outlineLevel="0" collapsed="false">
      <c r="A71" s="2" t="n">
        <v>70</v>
      </c>
      <c r="B71" s="2" t="s">
        <v>179</v>
      </c>
      <c r="C71" s="3" t="s">
        <v>180</v>
      </c>
      <c r="D71" s="2" t="s">
        <v>181</v>
      </c>
      <c r="E71" s="2" t="s">
        <v>21</v>
      </c>
      <c r="F71" s="2" t="s">
        <v>22</v>
      </c>
      <c r="G71" s="2" t="n">
        <v>254</v>
      </c>
      <c r="H71" s="2" t="s">
        <v>22</v>
      </c>
      <c r="I71" s="2" t="s">
        <v>23</v>
      </c>
      <c r="J71" s="2" t="n">
        <v>3692</v>
      </c>
      <c r="K71" s="2" t="n">
        <v>18005</v>
      </c>
      <c r="L71" s="2" t="n">
        <v>42048</v>
      </c>
      <c r="M71" s="2" t="n">
        <v>41</v>
      </c>
      <c r="N71" s="2" t="n">
        <v>8</v>
      </c>
      <c r="O71" s="2" t="n">
        <v>9</v>
      </c>
      <c r="P71" s="2" t="n">
        <v>1</v>
      </c>
      <c r="Q71" s="2" t="n">
        <v>3</v>
      </c>
      <c r="R71" s="3" t="s">
        <v>182</v>
      </c>
    </row>
    <row r="72" customFormat="false" ht="35.05" hidden="false" customHeight="false" outlineLevel="0" collapsed="false">
      <c r="A72" s="2" t="n">
        <v>71</v>
      </c>
      <c r="B72" s="2" t="s">
        <v>179</v>
      </c>
      <c r="C72" s="3" t="s">
        <v>180</v>
      </c>
      <c r="D72" s="2" t="s">
        <v>183</v>
      </c>
      <c r="E72" s="2" t="s">
        <v>21</v>
      </c>
      <c r="F72" s="2" t="s">
        <v>22</v>
      </c>
      <c r="G72" s="2" t="n">
        <v>248</v>
      </c>
      <c r="H72" s="2" t="s">
        <v>22</v>
      </c>
      <c r="I72" s="2" t="s">
        <v>23</v>
      </c>
      <c r="J72" s="2" t="n">
        <v>3003</v>
      </c>
      <c r="K72" s="2" t="n">
        <v>14662</v>
      </c>
      <c r="L72" s="2" t="n">
        <v>39385</v>
      </c>
      <c r="M72" s="2" t="n">
        <v>40</v>
      </c>
      <c r="N72" s="2" t="n">
        <v>5</v>
      </c>
      <c r="O72" s="2" t="n">
        <v>6</v>
      </c>
      <c r="P72" s="2" t="n">
        <v>1</v>
      </c>
      <c r="Q72" s="2" t="n">
        <v>3</v>
      </c>
      <c r="R72" s="3" t="s">
        <v>184</v>
      </c>
    </row>
    <row r="73" customFormat="false" ht="35.05" hidden="false" customHeight="false" outlineLevel="0" collapsed="false">
      <c r="A73" s="2" t="n">
        <v>72</v>
      </c>
      <c r="B73" s="2" t="s">
        <v>179</v>
      </c>
      <c r="C73" s="3" t="s">
        <v>180</v>
      </c>
      <c r="D73" s="2" t="s">
        <v>185</v>
      </c>
      <c r="E73" s="2" t="s">
        <v>64</v>
      </c>
      <c r="F73" s="2" t="s">
        <v>22</v>
      </c>
      <c r="G73" s="2" t="n">
        <v>293</v>
      </c>
      <c r="H73" s="2" t="s">
        <v>22</v>
      </c>
      <c r="I73" s="2" t="s">
        <v>23</v>
      </c>
      <c r="J73" s="2" t="n">
        <v>3079</v>
      </c>
      <c r="K73" s="2" t="n">
        <v>14959</v>
      </c>
      <c r="L73" s="2" t="n">
        <v>40255</v>
      </c>
      <c r="M73" s="2" t="n">
        <v>42</v>
      </c>
      <c r="N73" s="2" t="n">
        <v>6</v>
      </c>
      <c r="O73" s="2" t="n">
        <v>7</v>
      </c>
      <c r="P73" s="2" t="n">
        <v>0</v>
      </c>
      <c r="Q73" s="2" t="n">
        <v>3</v>
      </c>
      <c r="R73" s="3" t="s">
        <v>186</v>
      </c>
    </row>
    <row r="74" customFormat="false" ht="35.05" hidden="false" customHeight="false" outlineLevel="0" collapsed="false">
      <c r="A74" s="2" t="n">
        <v>73</v>
      </c>
      <c r="B74" s="2" t="s">
        <v>179</v>
      </c>
      <c r="C74" s="3" t="s">
        <v>180</v>
      </c>
      <c r="D74" s="2" t="s">
        <v>187</v>
      </c>
      <c r="E74" s="2" t="s">
        <v>21</v>
      </c>
      <c r="F74" s="2" t="s">
        <v>22</v>
      </c>
      <c r="G74" s="2" t="n">
        <v>257</v>
      </c>
      <c r="H74" s="2" t="s">
        <v>22</v>
      </c>
      <c r="I74" s="2" t="s">
        <v>23</v>
      </c>
      <c r="J74" s="2" t="n">
        <v>3360</v>
      </c>
      <c r="K74" s="2" t="n">
        <v>16280</v>
      </c>
      <c r="L74" s="2" t="n">
        <v>39610</v>
      </c>
      <c r="M74" s="2" t="n">
        <v>41</v>
      </c>
      <c r="N74" s="2" t="n">
        <v>7</v>
      </c>
      <c r="O74" s="2" t="n">
        <v>8</v>
      </c>
      <c r="P74" s="2" t="n">
        <v>1</v>
      </c>
      <c r="Q74" s="2" t="n">
        <v>4</v>
      </c>
      <c r="R74" s="3" t="s">
        <v>188</v>
      </c>
    </row>
    <row r="75" customFormat="false" ht="46.25" hidden="false" customHeight="false" outlineLevel="0" collapsed="false">
      <c r="A75" s="2" t="n">
        <v>74</v>
      </c>
      <c r="B75" s="2" t="s">
        <v>179</v>
      </c>
      <c r="C75" s="3" t="s">
        <v>180</v>
      </c>
      <c r="D75" s="2" t="s">
        <v>189</v>
      </c>
      <c r="E75" s="2" t="s">
        <v>21</v>
      </c>
      <c r="F75" s="2" t="s">
        <v>22</v>
      </c>
      <c r="G75" s="2" t="n">
        <v>330</v>
      </c>
      <c r="H75" s="2" t="s">
        <v>22</v>
      </c>
      <c r="I75" s="2" t="s">
        <v>23</v>
      </c>
      <c r="J75" s="2" t="n">
        <v>2785</v>
      </c>
      <c r="K75" s="2" t="n">
        <v>13959</v>
      </c>
      <c r="L75" s="2" t="n">
        <v>38109</v>
      </c>
      <c r="M75" s="2" t="n">
        <v>40</v>
      </c>
      <c r="N75" s="2" t="n">
        <v>4</v>
      </c>
      <c r="O75" s="2" t="n">
        <v>5</v>
      </c>
      <c r="P75" s="2" t="n">
        <v>0</v>
      </c>
      <c r="Q75" s="2" t="n">
        <v>3</v>
      </c>
      <c r="R75" s="3" t="s">
        <v>190</v>
      </c>
    </row>
    <row r="76" customFormat="false" ht="46.25" hidden="false" customHeight="false" outlineLevel="0" collapsed="false">
      <c r="A76" s="2" t="n">
        <v>75</v>
      </c>
      <c r="B76" s="2" t="s">
        <v>179</v>
      </c>
      <c r="C76" s="3" t="s">
        <v>180</v>
      </c>
      <c r="D76" s="2" t="s">
        <v>191</v>
      </c>
      <c r="E76" s="2" t="s">
        <v>21</v>
      </c>
      <c r="F76" s="2" t="s">
        <v>22</v>
      </c>
      <c r="G76" s="2" t="n">
        <v>322</v>
      </c>
      <c r="H76" s="2" t="s">
        <v>22</v>
      </c>
      <c r="I76" s="2" t="s">
        <v>23</v>
      </c>
      <c r="J76" s="2" t="n">
        <v>2883</v>
      </c>
      <c r="K76" s="2" t="n">
        <v>14581</v>
      </c>
      <c r="L76" s="2" t="n">
        <v>38915</v>
      </c>
      <c r="M76" s="2" t="n">
        <v>40</v>
      </c>
      <c r="N76" s="2" t="n">
        <v>5</v>
      </c>
      <c r="O76" s="2" t="n">
        <v>6</v>
      </c>
      <c r="P76" s="2" t="n">
        <v>1</v>
      </c>
      <c r="Q76" s="2" t="n">
        <v>3</v>
      </c>
      <c r="R76" s="3" t="s">
        <v>192</v>
      </c>
    </row>
    <row r="77" customFormat="false" ht="46.25" hidden="false" customHeight="false" outlineLevel="0" collapsed="false">
      <c r="A77" s="2" t="n">
        <v>76</v>
      </c>
      <c r="B77" s="2" t="s">
        <v>193</v>
      </c>
      <c r="C77" s="3" t="s">
        <v>194</v>
      </c>
      <c r="D77" s="2" t="s">
        <v>195</v>
      </c>
      <c r="E77" s="2" t="s">
        <v>21</v>
      </c>
      <c r="F77" s="2" t="s">
        <v>22</v>
      </c>
      <c r="G77" s="2" t="n">
        <v>318</v>
      </c>
      <c r="H77" s="2" t="s">
        <v>22</v>
      </c>
      <c r="I77" s="2" t="s">
        <v>23</v>
      </c>
      <c r="J77" s="2" t="n">
        <v>3364</v>
      </c>
      <c r="K77" s="2" t="n">
        <v>16682</v>
      </c>
      <c r="L77" s="2" t="n">
        <v>43809</v>
      </c>
      <c r="M77" s="2" t="n">
        <v>44</v>
      </c>
      <c r="N77" s="2" t="n">
        <v>6</v>
      </c>
      <c r="O77" s="2" t="n">
        <v>7</v>
      </c>
      <c r="P77" s="2" t="n">
        <v>1</v>
      </c>
      <c r="Q77" s="2" t="n">
        <v>3</v>
      </c>
      <c r="R77" s="3" t="s">
        <v>196</v>
      </c>
    </row>
    <row r="78" customFormat="false" ht="35.05" hidden="false" customHeight="false" outlineLevel="0" collapsed="false">
      <c r="A78" s="2" t="n">
        <v>77</v>
      </c>
      <c r="B78" s="2" t="s">
        <v>193</v>
      </c>
      <c r="C78" s="3" t="s">
        <v>194</v>
      </c>
      <c r="D78" s="2" t="s">
        <v>197</v>
      </c>
      <c r="E78" s="2" t="s">
        <v>21</v>
      </c>
      <c r="F78" s="2" t="s">
        <v>22</v>
      </c>
      <c r="G78" s="2" t="n">
        <v>266</v>
      </c>
      <c r="H78" s="2" t="s">
        <v>22</v>
      </c>
      <c r="I78" s="2" t="s">
        <v>23</v>
      </c>
      <c r="J78" s="2" t="n">
        <v>3903</v>
      </c>
      <c r="K78" s="2" t="n">
        <v>19127</v>
      </c>
      <c r="L78" s="2" t="n">
        <v>46811</v>
      </c>
      <c r="M78" s="2" t="n">
        <v>42</v>
      </c>
      <c r="N78" s="2" t="n">
        <v>11</v>
      </c>
      <c r="O78" s="2" t="n">
        <v>12</v>
      </c>
      <c r="P78" s="2" t="n">
        <v>0</v>
      </c>
      <c r="Q78" s="2" t="n">
        <v>3</v>
      </c>
      <c r="R78" s="3" t="s">
        <v>198</v>
      </c>
    </row>
    <row r="79" customFormat="false" ht="46.25" hidden="false" customHeight="false" outlineLevel="0" collapsed="false">
      <c r="A79" s="2" t="n">
        <v>78</v>
      </c>
      <c r="B79" s="2" t="s">
        <v>193</v>
      </c>
      <c r="C79" s="3" t="s">
        <v>194</v>
      </c>
      <c r="D79" s="2" t="s">
        <v>199</v>
      </c>
      <c r="E79" s="2" t="s">
        <v>21</v>
      </c>
      <c r="F79" s="2" t="s">
        <v>22</v>
      </c>
      <c r="G79" s="2" t="n">
        <v>352</v>
      </c>
      <c r="H79" s="2" t="s">
        <v>22</v>
      </c>
      <c r="I79" s="2" t="s">
        <v>23</v>
      </c>
      <c r="J79" s="2" t="n">
        <v>3630</v>
      </c>
      <c r="K79" s="2" t="n">
        <v>17633</v>
      </c>
      <c r="L79" s="2" t="n">
        <v>44822</v>
      </c>
      <c r="M79" s="2" t="n">
        <v>43</v>
      </c>
      <c r="N79" s="2" t="n">
        <v>9</v>
      </c>
      <c r="O79" s="2" t="n">
        <v>10</v>
      </c>
      <c r="P79" s="2" t="n">
        <v>0</v>
      </c>
      <c r="Q79" s="2" t="n">
        <v>3</v>
      </c>
      <c r="R79" s="3" t="s">
        <v>200</v>
      </c>
    </row>
    <row r="80" customFormat="false" ht="35.05" hidden="false" customHeight="false" outlineLevel="0" collapsed="false">
      <c r="A80" s="2" t="n">
        <v>79</v>
      </c>
      <c r="B80" s="2" t="s">
        <v>193</v>
      </c>
      <c r="C80" s="3" t="s">
        <v>194</v>
      </c>
      <c r="D80" s="2" t="s">
        <v>201</v>
      </c>
      <c r="E80" s="2" t="s">
        <v>21</v>
      </c>
      <c r="F80" s="2" t="s">
        <v>22</v>
      </c>
      <c r="G80" s="2" t="n">
        <v>234</v>
      </c>
      <c r="H80" s="2" t="s">
        <v>22</v>
      </c>
      <c r="I80" s="2" t="s">
        <v>23</v>
      </c>
      <c r="J80" s="2" t="n">
        <v>3585</v>
      </c>
      <c r="K80" s="2" t="n">
        <v>17767</v>
      </c>
      <c r="L80" s="2" t="n">
        <v>40880</v>
      </c>
      <c r="M80" s="2" t="n">
        <v>40</v>
      </c>
      <c r="N80" s="2" t="n">
        <v>8</v>
      </c>
      <c r="O80" s="2" t="n">
        <v>9</v>
      </c>
      <c r="P80" s="2" t="n">
        <v>1</v>
      </c>
      <c r="Q80" s="2" t="n">
        <v>3</v>
      </c>
      <c r="R80" s="3" t="s">
        <v>202</v>
      </c>
    </row>
    <row r="81" customFormat="false" ht="35.05" hidden="false" customHeight="false" outlineLevel="0" collapsed="false">
      <c r="A81" s="2" t="n">
        <v>80</v>
      </c>
      <c r="B81" s="2" t="s">
        <v>193</v>
      </c>
      <c r="C81" s="3" t="s">
        <v>194</v>
      </c>
      <c r="D81" s="2" t="s">
        <v>203</v>
      </c>
      <c r="E81" s="2" t="s">
        <v>21</v>
      </c>
      <c r="F81" s="2" t="s">
        <v>22</v>
      </c>
      <c r="G81" s="2" t="n">
        <v>316</v>
      </c>
      <c r="H81" s="2" t="s">
        <v>22</v>
      </c>
      <c r="I81" s="2" t="s">
        <v>23</v>
      </c>
      <c r="J81" s="2" t="n">
        <v>2733</v>
      </c>
      <c r="K81" s="2" t="n">
        <v>13594</v>
      </c>
      <c r="L81" s="2" t="n">
        <v>36451</v>
      </c>
      <c r="M81" s="2" t="n">
        <v>39</v>
      </c>
      <c r="N81" s="2" t="n">
        <v>7</v>
      </c>
      <c r="O81" s="2" t="n">
        <v>8</v>
      </c>
      <c r="P81" s="2" t="n">
        <v>0</v>
      </c>
      <c r="Q81" s="2" t="n">
        <v>4</v>
      </c>
      <c r="R81" s="3" t="s">
        <v>204</v>
      </c>
    </row>
    <row r="82" customFormat="false" ht="35.05" hidden="false" customHeight="false" outlineLevel="0" collapsed="false">
      <c r="A82" s="2" t="n">
        <v>81</v>
      </c>
      <c r="B82" s="2" t="s">
        <v>193</v>
      </c>
      <c r="C82" s="3" t="s">
        <v>194</v>
      </c>
      <c r="D82" s="2" t="s">
        <v>205</v>
      </c>
      <c r="E82" s="2" t="s">
        <v>21</v>
      </c>
      <c r="F82" s="2" t="s">
        <v>22</v>
      </c>
      <c r="G82" s="2" t="n">
        <v>292</v>
      </c>
      <c r="H82" s="2" t="s">
        <v>22</v>
      </c>
      <c r="I82" s="2" t="s">
        <v>22</v>
      </c>
      <c r="J82" s="2" t="n">
        <v>2915</v>
      </c>
      <c r="K82" s="2" t="n">
        <v>14458</v>
      </c>
      <c r="L82" s="2" t="n">
        <v>38447</v>
      </c>
      <c r="M82" s="2" t="n">
        <v>39</v>
      </c>
      <c r="N82" s="2" t="n">
        <v>6</v>
      </c>
      <c r="O82" s="2" t="n">
        <v>7</v>
      </c>
      <c r="P82" s="2" t="n">
        <v>1</v>
      </c>
      <c r="Q82" s="2" t="n">
        <v>6</v>
      </c>
      <c r="R82" s="3" t="s">
        <v>206</v>
      </c>
    </row>
    <row r="83" customFormat="false" ht="35.05" hidden="false" customHeight="false" outlineLevel="0" collapsed="false">
      <c r="A83" s="2" t="n">
        <v>82</v>
      </c>
      <c r="B83" s="2" t="s">
        <v>193</v>
      </c>
      <c r="C83" s="3" t="s">
        <v>194</v>
      </c>
      <c r="D83" s="2" t="s">
        <v>207</v>
      </c>
      <c r="E83" s="2" t="s">
        <v>21</v>
      </c>
      <c r="F83" s="2" t="s">
        <v>22</v>
      </c>
      <c r="G83" s="2" t="n">
        <v>287</v>
      </c>
      <c r="H83" s="2" t="s">
        <v>22</v>
      </c>
      <c r="I83" s="2" t="s">
        <v>23</v>
      </c>
      <c r="J83" s="2" t="n">
        <v>2884</v>
      </c>
      <c r="K83" s="2" t="n">
        <v>14259</v>
      </c>
      <c r="L83" s="2" t="n">
        <v>38150</v>
      </c>
      <c r="M83" s="2" t="n">
        <v>39</v>
      </c>
      <c r="N83" s="2" t="n">
        <v>7</v>
      </c>
      <c r="O83" s="2" t="n">
        <v>8</v>
      </c>
      <c r="P83" s="2" t="n">
        <v>1</v>
      </c>
      <c r="Q83" s="2" t="n">
        <v>3</v>
      </c>
      <c r="R83" s="3" t="s">
        <v>208</v>
      </c>
    </row>
    <row r="84" customFormat="false" ht="46.25" hidden="false" customHeight="false" outlineLevel="0" collapsed="false">
      <c r="A84" s="2" t="n">
        <v>83</v>
      </c>
      <c r="B84" s="2" t="s">
        <v>193</v>
      </c>
      <c r="C84" s="3" t="s">
        <v>194</v>
      </c>
      <c r="D84" s="2" t="s">
        <v>209</v>
      </c>
      <c r="E84" s="2" t="s">
        <v>21</v>
      </c>
      <c r="F84" s="2" t="s">
        <v>22</v>
      </c>
      <c r="G84" s="2" t="n">
        <v>339</v>
      </c>
      <c r="H84" s="2" t="s">
        <v>22</v>
      </c>
      <c r="I84" s="2" t="s">
        <v>23</v>
      </c>
      <c r="J84" s="2" t="n">
        <v>2788</v>
      </c>
      <c r="K84" s="2" t="n">
        <v>13924</v>
      </c>
      <c r="L84" s="2" t="n">
        <v>37020</v>
      </c>
      <c r="M84" s="2" t="n">
        <v>39</v>
      </c>
      <c r="N84" s="2" t="n">
        <v>7</v>
      </c>
      <c r="O84" s="2" t="n">
        <v>8</v>
      </c>
      <c r="P84" s="2" t="n">
        <v>0</v>
      </c>
      <c r="Q84" s="2" t="n">
        <v>3</v>
      </c>
      <c r="R84" s="3" t="s">
        <v>210</v>
      </c>
    </row>
    <row r="85" customFormat="false" ht="35.05" hidden="false" customHeight="false" outlineLevel="0" collapsed="false">
      <c r="A85" s="2" t="n">
        <v>84</v>
      </c>
      <c r="B85" s="2" t="s">
        <v>193</v>
      </c>
      <c r="C85" s="3" t="s">
        <v>194</v>
      </c>
      <c r="D85" s="2" t="s">
        <v>211</v>
      </c>
      <c r="E85" s="2" t="s">
        <v>21</v>
      </c>
      <c r="F85" s="2" t="s">
        <v>22</v>
      </c>
      <c r="G85" s="2" t="n">
        <v>304</v>
      </c>
      <c r="H85" s="2" t="s">
        <v>22</v>
      </c>
      <c r="I85" s="2" t="s">
        <v>23</v>
      </c>
      <c r="J85" s="2" t="n">
        <v>2685</v>
      </c>
      <c r="K85" s="2" t="n">
        <v>13133</v>
      </c>
      <c r="L85" s="2" t="n">
        <v>36599</v>
      </c>
      <c r="M85" s="2" t="n">
        <v>39</v>
      </c>
      <c r="N85" s="2" t="n">
        <v>6</v>
      </c>
      <c r="O85" s="2" t="n">
        <v>7</v>
      </c>
      <c r="P85" s="2" t="n">
        <v>0</v>
      </c>
      <c r="Q85" s="2" t="n">
        <v>3</v>
      </c>
      <c r="R85" s="3" t="s">
        <v>212</v>
      </c>
    </row>
    <row r="86" customFormat="false" ht="46.25" hidden="false" customHeight="false" outlineLevel="0" collapsed="false">
      <c r="A86" s="2" t="n">
        <v>85</v>
      </c>
      <c r="B86" s="2" t="s">
        <v>193</v>
      </c>
      <c r="C86" s="3" t="s">
        <v>194</v>
      </c>
      <c r="D86" s="2" t="s">
        <v>213</v>
      </c>
      <c r="E86" s="2" t="s">
        <v>21</v>
      </c>
      <c r="F86" s="2" t="s">
        <v>22</v>
      </c>
      <c r="G86" s="2" t="n">
        <v>346</v>
      </c>
      <c r="H86" s="2" t="s">
        <v>22</v>
      </c>
      <c r="I86" s="2" t="s">
        <v>23</v>
      </c>
      <c r="J86" s="2" t="n">
        <v>3129</v>
      </c>
      <c r="K86" s="2" t="n">
        <v>15629</v>
      </c>
      <c r="L86" s="2" t="n">
        <v>38509</v>
      </c>
      <c r="M86" s="2" t="n">
        <v>38</v>
      </c>
      <c r="N86" s="2" t="n">
        <v>6</v>
      </c>
      <c r="O86" s="2" t="n">
        <v>7</v>
      </c>
      <c r="P86" s="2" t="n">
        <v>1</v>
      </c>
      <c r="Q86" s="2" t="n">
        <v>3</v>
      </c>
      <c r="R86" s="3" t="s">
        <v>214</v>
      </c>
    </row>
    <row r="87" customFormat="false" ht="46.25" hidden="false" customHeight="false" outlineLevel="0" collapsed="false">
      <c r="A87" s="2" t="n">
        <v>86</v>
      </c>
      <c r="B87" s="2" t="s">
        <v>193</v>
      </c>
      <c r="C87" s="3" t="s">
        <v>194</v>
      </c>
      <c r="D87" s="2" t="s">
        <v>215</v>
      </c>
      <c r="E87" s="2" t="s">
        <v>21</v>
      </c>
      <c r="F87" s="2" t="s">
        <v>22</v>
      </c>
      <c r="G87" s="2" t="n">
        <v>321</v>
      </c>
      <c r="H87" s="2" t="s">
        <v>22</v>
      </c>
      <c r="I87" s="2" t="s">
        <v>23</v>
      </c>
      <c r="J87" s="2" t="n">
        <v>3059</v>
      </c>
      <c r="K87" s="2" t="n">
        <v>14833</v>
      </c>
      <c r="L87" s="2" t="n">
        <v>38097</v>
      </c>
      <c r="M87" s="2" t="n">
        <v>39</v>
      </c>
      <c r="N87" s="2" t="n">
        <v>8</v>
      </c>
      <c r="O87" s="2" t="n">
        <v>9</v>
      </c>
      <c r="P87" s="2" t="n">
        <v>1</v>
      </c>
      <c r="Q87" s="2" t="n">
        <v>3</v>
      </c>
      <c r="R87" s="3" t="s">
        <v>216</v>
      </c>
    </row>
    <row r="88" customFormat="false" ht="35.05" hidden="false" customHeight="false" outlineLevel="0" collapsed="false">
      <c r="A88" s="2" t="n">
        <v>87</v>
      </c>
      <c r="B88" s="2" t="s">
        <v>193</v>
      </c>
      <c r="C88" s="3" t="s">
        <v>194</v>
      </c>
      <c r="D88" s="2" t="s">
        <v>217</v>
      </c>
      <c r="E88" s="2" t="s">
        <v>21</v>
      </c>
      <c r="F88" s="2" t="s">
        <v>22</v>
      </c>
      <c r="G88" s="2" t="n">
        <v>238</v>
      </c>
      <c r="H88" s="2" t="s">
        <v>22</v>
      </c>
      <c r="I88" s="2" t="s">
        <v>22</v>
      </c>
      <c r="J88" s="2" t="n">
        <v>2874</v>
      </c>
      <c r="K88" s="2" t="n">
        <v>14041</v>
      </c>
      <c r="L88" s="2" t="n">
        <v>36713</v>
      </c>
      <c r="M88" s="2" t="n">
        <v>39</v>
      </c>
      <c r="N88" s="2" t="n">
        <v>7</v>
      </c>
      <c r="O88" s="2" t="n">
        <v>8</v>
      </c>
      <c r="P88" s="2" t="n">
        <v>2</v>
      </c>
      <c r="Q88" s="2" t="n">
        <v>5</v>
      </c>
      <c r="R88" s="3" t="s">
        <v>218</v>
      </c>
    </row>
    <row r="89" customFormat="false" ht="46.25" hidden="false" customHeight="false" outlineLevel="0" collapsed="false">
      <c r="A89" s="2" t="n">
        <v>88</v>
      </c>
      <c r="B89" s="2" t="s">
        <v>193</v>
      </c>
      <c r="C89" s="3" t="s">
        <v>194</v>
      </c>
      <c r="D89" s="2" t="s">
        <v>219</v>
      </c>
      <c r="E89" s="2" t="s">
        <v>21</v>
      </c>
      <c r="F89" s="2" t="s">
        <v>22</v>
      </c>
      <c r="G89" s="2" t="n">
        <v>335</v>
      </c>
      <c r="H89" s="2" t="s">
        <v>22</v>
      </c>
      <c r="I89" s="2" t="s">
        <v>23</v>
      </c>
      <c r="J89" s="2" t="n">
        <v>3500</v>
      </c>
      <c r="K89" s="2" t="n">
        <v>17331</v>
      </c>
      <c r="L89" s="2" t="n">
        <v>40609</v>
      </c>
      <c r="M89" s="2" t="n">
        <v>38</v>
      </c>
      <c r="N89" s="2" t="n">
        <v>9</v>
      </c>
      <c r="O89" s="2" t="n">
        <v>10</v>
      </c>
      <c r="P89" s="2" t="n">
        <v>0</v>
      </c>
      <c r="Q89" s="2" t="n">
        <v>3</v>
      </c>
      <c r="R89" s="3" t="s">
        <v>220</v>
      </c>
    </row>
    <row r="90" customFormat="false" ht="35.05" hidden="false" customHeight="false" outlineLevel="0" collapsed="false">
      <c r="A90" s="2" t="n">
        <v>89</v>
      </c>
      <c r="B90" s="2" t="s">
        <v>193</v>
      </c>
      <c r="C90" s="3" t="s">
        <v>194</v>
      </c>
      <c r="D90" s="2" t="s">
        <v>221</v>
      </c>
      <c r="E90" s="2" t="s">
        <v>21</v>
      </c>
      <c r="F90" s="2" t="s">
        <v>22</v>
      </c>
      <c r="G90" s="2" t="n">
        <v>276</v>
      </c>
      <c r="H90" s="2" t="s">
        <v>22</v>
      </c>
      <c r="I90" s="2" t="s">
        <v>23</v>
      </c>
      <c r="J90" s="2" t="n">
        <v>3378</v>
      </c>
      <c r="K90" s="2" t="n">
        <v>16778</v>
      </c>
      <c r="L90" s="2" t="n">
        <v>40722</v>
      </c>
      <c r="M90" s="2" t="n">
        <v>38</v>
      </c>
      <c r="N90" s="2" t="n">
        <v>8</v>
      </c>
      <c r="O90" s="2" t="n">
        <v>9</v>
      </c>
      <c r="P90" s="2" t="n">
        <v>1</v>
      </c>
      <c r="Q90" s="2" t="n">
        <v>3</v>
      </c>
      <c r="R90" s="3" t="s">
        <v>222</v>
      </c>
    </row>
    <row r="91" customFormat="false" ht="35.05" hidden="false" customHeight="false" outlineLevel="0" collapsed="false">
      <c r="A91" s="2" t="n">
        <v>90</v>
      </c>
      <c r="B91" s="2" t="s">
        <v>193</v>
      </c>
      <c r="C91" s="3" t="s">
        <v>194</v>
      </c>
      <c r="D91" s="2" t="s">
        <v>223</v>
      </c>
      <c r="E91" s="2" t="s">
        <v>21</v>
      </c>
      <c r="F91" s="2" t="s">
        <v>22</v>
      </c>
      <c r="G91" s="2" t="n">
        <v>315</v>
      </c>
      <c r="H91" s="2" t="s">
        <v>22</v>
      </c>
      <c r="I91" s="2" t="s">
        <v>23</v>
      </c>
      <c r="J91" s="2" t="n">
        <v>3426</v>
      </c>
      <c r="K91" s="2" t="n">
        <v>16739</v>
      </c>
      <c r="L91" s="2" t="n">
        <v>39840</v>
      </c>
      <c r="M91" s="2" t="n">
        <v>41</v>
      </c>
      <c r="N91" s="2" t="n">
        <v>10</v>
      </c>
      <c r="O91" s="2" t="n">
        <v>11</v>
      </c>
      <c r="P91" s="2" t="n">
        <v>0</v>
      </c>
      <c r="Q91" s="2" t="n">
        <v>3</v>
      </c>
      <c r="R91" s="3" t="s">
        <v>224</v>
      </c>
    </row>
    <row r="92" customFormat="false" ht="46.25" hidden="false" customHeight="false" outlineLevel="0" collapsed="false">
      <c r="A92" s="2" t="n">
        <v>91</v>
      </c>
      <c r="B92" s="2" t="s">
        <v>193</v>
      </c>
      <c r="C92" s="3" t="s">
        <v>194</v>
      </c>
      <c r="D92" s="2" t="s">
        <v>225</v>
      </c>
      <c r="E92" s="2" t="s">
        <v>21</v>
      </c>
      <c r="F92" s="2" t="s">
        <v>22</v>
      </c>
      <c r="G92" s="2" t="n">
        <v>381</v>
      </c>
      <c r="H92" s="2" t="s">
        <v>22</v>
      </c>
      <c r="I92" s="2" t="s">
        <v>23</v>
      </c>
      <c r="J92" s="2" t="n">
        <v>2479</v>
      </c>
      <c r="K92" s="2" t="n">
        <v>12463</v>
      </c>
      <c r="L92" s="2" t="n">
        <v>38198</v>
      </c>
      <c r="M92" s="2" t="n">
        <v>41</v>
      </c>
      <c r="N92" s="2" t="n">
        <v>5</v>
      </c>
      <c r="O92" s="2" t="n">
        <v>6</v>
      </c>
      <c r="P92" s="2" t="n">
        <v>1</v>
      </c>
      <c r="Q92" s="2" t="n">
        <v>13</v>
      </c>
      <c r="R92" s="3" t="s">
        <v>226</v>
      </c>
    </row>
    <row r="93" customFormat="false" ht="46.25" hidden="false" customHeight="false" outlineLevel="0" collapsed="false">
      <c r="A93" s="2" t="n">
        <v>92</v>
      </c>
      <c r="B93" s="2" t="s">
        <v>193</v>
      </c>
      <c r="C93" s="3" t="s">
        <v>194</v>
      </c>
      <c r="D93" s="2" t="s">
        <v>227</v>
      </c>
      <c r="E93" s="2" t="s">
        <v>21</v>
      </c>
      <c r="F93" s="2" t="s">
        <v>22</v>
      </c>
      <c r="G93" s="2" t="n">
        <v>354</v>
      </c>
      <c r="H93" s="2" t="s">
        <v>22</v>
      </c>
      <c r="I93" s="2" t="s">
        <v>23</v>
      </c>
      <c r="J93" s="2" t="n">
        <v>2450</v>
      </c>
      <c r="K93" s="2" t="n">
        <v>12463</v>
      </c>
      <c r="L93" s="2" t="n">
        <v>35211</v>
      </c>
      <c r="M93" s="2" t="n">
        <v>39</v>
      </c>
      <c r="N93" s="2" t="n">
        <v>5</v>
      </c>
      <c r="O93" s="2" t="n">
        <v>6</v>
      </c>
      <c r="P93" s="2" t="n">
        <v>0</v>
      </c>
      <c r="Q93" s="2" t="n">
        <v>5</v>
      </c>
      <c r="R93" s="3" t="s">
        <v>228</v>
      </c>
    </row>
    <row r="94" customFormat="false" ht="35.05" hidden="false" customHeight="false" outlineLevel="0" collapsed="false">
      <c r="A94" s="2" t="n">
        <v>93</v>
      </c>
      <c r="B94" s="2" t="s">
        <v>229</v>
      </c>
      <c r="C94" s="3" t="s">
        <v>230</v>
      </c>
      <c r="D94" s="2" t="s">
        <v>231</v>
      </c>
      <c r="E94" s="2" t="s">
        <v>21</v>
      </c>
      <c r="F94" s="2" t="s">
        <v>22</v>
      </c>
      <c r="G94" s="2" t="n">
        <v>300</v>
      </c>
      <c r="H94" s="2" t="s">
        <v>22</v>
      </c>
      <c r="I94" s="2" t="s">
        <v>23</v>
      </c>
      <c r="J94" s="2" t="n">
        <v>2760</v>
      </c>
      <c r="K94" s="2" t="n">
        <v>13531</v>
      </c>
      <c r="L94" s="2" t="n">
        <v>40342</v>
      </c>
      <c r="M94" s="2" t="n">
        <v>41</v>
      </c>
      <c r="N94" s="2" t="n">
        <v>6</v>
      </c>
      <c r="O94" s="2" t="n">
        <v>7</v>
      </c>
      <c r="P94" s="2" t="n">
        <v>1</v>
      </c>
      <c r="Q94" s="2" t="n">
        <v>3</v>
      </c>
      <c r="R94" s="3" t="s">
        <v>232</v>
      </c>
    </row>
    <row r="95" customFormat="false" ht="46.25" hidden="false" customHeight="false" outlineLevel="0" collapsed="false">
      <c r="A95" s="2" t="n">
        <v>94</v>
      </c>
      <c r="B95" s="2" t="s">
        <v>229</v>
      </c>
      <c r="C95" s="3" t="s">
        <v>230</v>
      </c>
      <c r="D95" s="2" t="s">
        <v>233</v>
      </c>
      <c r="E95" s="2" t="s">
        <v>21</v>
      </c>
      <c r="F95" s="2" t="s">
        <v>22</v>
      </c>
      <c r="G95" s="2" t="n">
        <v>357</v>
      </c>
      <c r="H95" s="2" t="s">
        <v>22</v>
      </c>
      <c r="I95" s="2" t="s">
        <v>23</v>
      </c>
      <c r="J95" s="2" t="n">
        <v>2802</v>
      </c>
      <c r="K95" s="2" t="n">
        <v>14065</v>
      </c>
      <c r="L95" s="2" t="n">
        <v>38079</v>
      </c>
      <c r="M95" s="2" t="n">
        <v>39</v>
      </c>
      <c r="N95" s="2" t="n">
        <v>6</v>
      </c>
      <c r="O95" s="2" t="n">
        <v>7</v>
      </c>
      <c r="P95" s="2" t="n">
        <v>1</v>
      </c>
      <c r="Q95" s="2" t="n">
        <v>5</v>
      </c>
      <c r="R95" s="3" t="s">
        <v>234</v>
      </c>
    </row>
    <row r="96" customFormat="false" ht="35.05" hidden="false" customHeight="false" outlineLevel="0" collapsed="false">
      <c r="A96" s="2" t="n">
        <v>95</v>
      </c>
      <c r="B96" s="2" t="s">
        <v>229</v>
      </c>
      <c r="C96" s="3" t="s">
        <v>230</v>
      </c>
      <c r="D96" s="2" t="s">
        <v>235</v>
      </c>
      <c r="E96" s="2" t="s">
        <v>21</v>
      </c>
      <c r="F96" s="2" t="s">
        <v>22</v>
      </c>
      <c r="G96" s="2" t="n">
        <v>288</v>
      </c>
      <c r="H96" s="2" t="s">
        <v>22</v>
      </c>
      <c r="I96" s="2" t="s">
        <v>23</v>
      </c>
      <c r="J96" s="2" t="n">
        <v>2866</v>
      </c>
      <c r="K96" s="2" t="n">
        <v>14156</v>
      </c>
      <c r="L96" s="2" t="n">
        <v>38084</v>
      </c>
      <c r="M96" s="2" t="n">
        <v>39</v>
      </c>
      <c r="N96" s="2" t="n">
        <v>7</v>
      </c>
      <c r="O96" s="2" t="n">
        <v>8</v>
      </c>
      <c r="P96" s="2" t="n">
        <v>0</v>
      </c>
      <c r="Q96" s="2" t="n">
        <v>3</v>
      </c>
      <c r="R96" s="3" t="s">
        <v>236</v>
      </c>
    </row>
    <row r="97" customFormat="false" ht="46.25" hidden="false" customHeight="false" outlineLevel="0" collapsed="false">
      <c r="A97" s="2" t="n">
        <v>96</v>
      </c>
      <c r="B97" s="2" t="s">
        <v>229</v>
      </c>
      <c r="C97" s="3" t="s">
        <v>230</v>
      </c>
      <c r="D97" s="2" t="s">
        <v>237</v>
      </c>
      <c r="E97" s="2" t="s">
        <v>21</v>
      </c>
      <c r="F97" s="2" t="s">
        <v>22</v>
      </c>
      <c r="G97" s="2" t="n">
        <v>360</v>
      </c>
      <c r="H97" s="2" t="s">
        <v>22</v>
      </c>
      <c r="I97" s="2" t="s">
        <v>23</v>
      </c>
      <c r="J97" s="2" t="n">
        <v>2599</v>
      </c>
      <c r="K97" s="2" t="n">
        <v>13108</v>
      </c>
      <c r="L97" s="2" t="n">
        <v>35624</v>
      </c>
      <c r="M97" s="2" t="n">
        <v>40</v>
      </c>
      <c r="N97" s="2" t="n">
        <v>5</v>
      </c>
      <c r="O97" s="2" t="n">
        <v>6</v>
      </c>
      <c r="P97" s="2" t="n">
        <v>1</v>
      </c>
      <c r="Q97" s="2" t="n">
        <v>5</v>
      </c>
      <c r="R97" s="3" t="s">
        <v>238</v>
      </c>
    </row>
    <row r="98" customFormat="false" ht="46.25" hidden="false" customHeight="false" outlineLevel="0" collapsed="false">
      <c r="A98" s="2" t="n">
        <v>97</v>
      </c>
      <c r="B98" s="2" t="s">
        <v>239</v>
      </c>
      <c r="C98" s="3" t="s">
        <v>240</v>
      </c>
      <c r="D98" s="2" t="s">
        <v>241</v>
      </c>
      <c r="E98" s="2" t="s">
        <v>21</v>
      </c>
      <c r="F98" s="2" t="s">
        <v>22</v>
      </c>
      <c r="G98" s="2" t="n">
        <v>340</v>
      </c>
      <c r="H98" s="2" t="s">
        <v>22</v>
      </c>
      <c r="I98" s="2" t="s">
        <v>23</v>
      </c>
      <c r="J98" s="2" t="n">
        <v>2303</v>
      </c>
      <c r="K98" s="2" t="n">
        <v>11669</v>
      </c>
      <c r="L98" s="2" t="n">
        <v>38268</v>
      </c>
      <c r="M98" s="2" t="n">
        <v>36</v>
      </c>
      <c r="N98" s="2" t="n">
        <v>6</v>
      </c>
      <c r="O98" s="2" t="n">
        <v>1</v>
      </c>
      <c r="P98" s="2" t="n">
        <v>1</v>
      </c>
      <c r="Q98" s="2" t="n">
        <v>3</v>
      </c>
      <c r="R98" s="3" t="s">
        <v>242</v>
      </c>
    </row>
    <row r="99" customFormat="false" ht="46.25" hidden="false" customHeight="false" outlineLevel="0" collapsed="false">
      <c r="A99" s="2" t="n">
        <v>98</v>
      </c>
      <c r="B99" s="2" t="s">
        <v>239</v>
      </c>
      <c r="C99" s="3" t="s">
        <v>240</v>
      </c>
      <c r="D99" s="2" t="s">
        <v>243</v>
      </c>
      <c r="E99" s="2" t="s">
        <v>21</v>
      </c>
      <c r="F99" s="2" t="s">
        <v>22</v>
      </c>
      <c r="G99" s="2" t="n">
        <v>341</v>
      </c>
      <c r="H99" s="2" t="s">
        <v>22</v>
      </c>
      <c r="I99" s="2" t="s">
        <v>23</v>
      </c>
      <c r="J99" s="2" t="n">
        <v>2015</v>
      </c>
      <c r="K99" s="2" t="n">
        <v>10136</v>
      </c>
      <c r="L99" s="2" t="n">
        <v>35614</v>
      </c>
      <c r="M99" s="2" t="n">
        <v>24</v>
      </c>
      <c r="N99" s="2" t="n">
        <v>5</v>
      </c>
      <c r="O99" s="2" t="n">
        <v>6</v>
      </c>
      <c r="P99" s="2" t="n">
        <v>0</v>
      </c>
      <c r="Q99" s="2" t="n">
        <v>5</v>
      </c>
      <c r="R99" s="3" t="s">
        <v>244</v>
      </c>
    </row>
    <row r="100" customFormat="false" ht="46.25" hidden="false" customHeight="false" outlineLevel="0" collapsed="false">
      <c r="A100" s="2" t="n">
        <v>99</v>
      </c>
      <c r="B100" s="2" t="s">
        <v>239</v>
      </c>
      <c r="C100" s="3" t="s">
        <v>240</v>
      </c>
      <c r="D100" s="2" t="s">
        <v>245</v>
      </c>
      <c r="E100" s="2" t="s">
        <v>21</v>
      </c>
      <c r="F100" s="2" t="s">
        <v>22</v>
      </c>
      <c r="G100" s="2" t="n">
        <v>381</v>
      </c>
      <c r="H100" s="2" t="s">
        <v>22</v>
      </c>
      <c r="I100" s="2" t="s">
        <v>23</v>
      </c>
      <c r="J100" s="2" t="n">
        <v>3655</v>
      </c>
      <c r="K100" s="2" t="n">
        <v>17770</v>
      </c>
      <c r="L100" s="2" t="n">
        <v>41765</v>
      </c>
      <c r="M100" s="2" t="n">
        <v>40</v>
      </c>
      <c r="N100" s="2" t="n">
        <v>9</v>
      </c>
      <c r="O100" s="2" t="n">
        <v>10</v>
      </c>
      <c r="P100" s="2" t="n">
        <v>0</v>
      </c>
      <c r="Q100" s="2" t="n">
        <v>3</v>
      </c>
      <c r="R100" s="3" t="s">
        <v>246</v>
      </c>
    </row>
    <row r="101" customFormat="false" ht="35.05" hidden="false" customHeight="false" outlineLevel="0" collapsed="false">
      <c r="A101" s="2" t="n">
        <v>100</v>
      </c>
      <c r="B101" s="2" t="s">
        <v>239</v>
      </c>
      <c r="C101" s="3" t="s">
        <v>240</v>
      </c>
      <c r="D101" s="2" t="s">
        <v>247</v>
      </c>
      <c r="E101" s="2" t="s">
        <v>21</v>
      </c>
      <c r="F101" s="2" t="s">
        <v>22</v>
      </c>
      <c r="G101" s="2" t="n">
        <v>278</v>
      </c>
      <c r="H101" s="2" t="s">
        <v>22</v>
      </c>
      <c r="I101" s="2" t="s">
        <v>23</v>
      </c>
      <c r="J101" s="2" t="n">
        <v>2583</v>
      </c>
      <c r="K101" s="2" t="n">
        <v>12870</v>
      </c>
      <c r="L101" s="2" t="n">
        <v>36900</v>
      </c>
      <c r="M101" s="2" t="n">
        <v>40</v>
      </c>
      <c r="N101" s="2" t="n">
        <v>6</v>
      </c>
      <c r="O101" s="2" t="n">
        <v>7</v>
      </c>
      <c r="P101" s="2" t="n">
        <v>0</v>
      </c>
      <c r="Q101" s="2" t="n">
        <v>4</v>
      </c>
      <c r="R101" s="3" t="s">
        <v>248</v>
      </c>
    </row>
    <row r="102" customFormat="false" ht="35.05" hidden="false" customHeight="false" outlineLevel="0" collapsed="false">
      <c r="A102" s="2" t="n">
        <v>101</v>
      </c>
      <c r="B102" s="2" t="s">
        <v>239</v>
      </c>
      <c r="C102" s="3" t="s">
        <v>240</v>
      </c>
      <c r="D102" s="2" t="s">
        <v>249</v>
      </c>
      <c r="E102" s="2" t="s">
        <v>21</v>
      </c>
      <c r="F102" s="2" t="s">
        <v>22</v>
      </c>
      <c r="G102" s="2" t="n">
        <v>282</v>
      </c>
      <c r="H102" s="2" t="s">
        <v>22</v>
      </c>
      <c r="I102" s="2" t="s">
        <v>23</v>
      </c>
      <c r="J102" s="2" t="n">
        <v>3112</v>
      </c>
      <c r="K102" s="2" t="n">
        <v>15686</v>
      </c>
      <c r="L102" s="2" t="n">
        <v>38807</v>
      </c>
      <c r="M102" s="2" t="n">
        <v>40</v>
      </c>
      <c r="N102" s="2" t="n">
        <v>7</v>
      </c>
      <c r="O102" s="2" t="n">
        <v>8</v>
      </c>
      <c r="P102" s="2" t="n">
        <v>0</v>
      </c>
      <c r="Q102" s="2" t="n">
        <v>3</v>
      </c>
      <c r="R102" s="3" t="s">
        <v>250</v>
      </c>
    </row>
    <row r="103" customFormat="false" ht="46.25" hidden="false" customHeight="false" outlineLevel="0" collapsed="false">
      <c r="A103" s="2" t="n">
        <v>102</v>
      </c>
      <c r="B103" s="2" t="s">
        <v>239</v>
      </c>
      <c r="C103" s="3" t="s">
        <v>240</v>
      </c>
      <c r="D103" s="2" t="s">
        <v>251</v>
      </c>
      <c r="E103" s="2" t="s">
        <v>21</v>
      </c>
      <c r="F103" s="2" t="s">
        <v>22</v>
      </c>
      <c r="G103" s="2" t="n">
        <v>329</v>
      </c>
      <c r="H103" s="2" t="s">
        <v>22</v>
      </c>
      <c r="I103" s="2" t="s">
        <v>23</v>
      </c>
      <c r="J103" s="2" t="n">
        <v>3230</v>
      </c>
      <c r="K103" s="2" t="n">
        <v>16071</v>
      </c>
      <c r="L103" s="2" t="n">
        <v>39044</v>
      </c>
      <c r="M103" s="2" t="n">
        <v>41</v>
      </c>
      <c r="N103" s="2" t="n">
        <v>6</v>
      </c>
      <c r="O103" s="2" t="n">
        <v>7</v>
      </c>
      <c r="P103" s="2" t="n">
        <v>0</v>
      </c>
      <c r="Q103" s="2" t="n">
        <v>3</v>
      </c>
      <c r="R103" s="3" t="s">
        <v>252</v>
      </c>
    </row>
    <row r="104" customFormat="false" ht="35.05" hidden="false" customHeight="false" outlineLevel="0" collapsed="false">
      <c r="A104" s="2" t="n">
        <v>103</v>
      </c>
      <c r="B104" s="2" t="s">
        <v>239</v>
      </c>
      <c r="C104" s="3" t="s">
        <v>240</v>
      </c>
      <c r="D104" s="2" t="s">
        <v>253</v>
      </c>
      <c r="E104" s="2" t="s">
        <v>21</v>
      </c>
      <c r="F104" s="2" t="s">
        <v>22</v>
      </c>
      <c r="G104" s="2" t="n">
        <v>302</v>
      </c>
      <c r="H104" s="2" t="s">
        <v>22</v>
      </c>
      <c r="I104" s="2" t="s">
        <v>23</v>
      </c>
      <c r="J104" s="2" t="n">
        <v>3530</v>
      </c>
      <c r="K104" s="2" t="n">
        <v>17529</v>
      </c>
      <c r="L104" s="2" t="n">
        <v>41269</v>
      </c>
      <c r="M104" s="2" t="n">
        <v>41</v>
      </c>
      <c r="N104" s="2" t="n">
        <v>7</v>
      </c>
      <c r="O104" s="2" t="n">
        <v>7</v>
      </c>
      <c r="P104" s="2" t="n">
        <v>1</v>
      </c>
      <c r="Q104" s="2" t="n">
        <v>3</v>
      </c>
      <c r="R104" s="3" t="s">
        <v>254</v>
      </c>
    </row>
    <row r="105" customFormat="false" ht="46.25" hidden="false" customHeight="false" outlineLevel="0" collapsed="false">
      <c r="A105" s="2" t="n">
        <v>104</v>
      </c>
      <c r="B105" s="2" t="s">
        <v>239</v>
      </c>
      <c r="C105" s="3" t="s">
        <v>240</v>
      </c>
      <c r="D105" s="2" t="s">
        <v>255</v>
      </c>
      <c r="E105" s="2" t="s">
        <v>21</v>
      </c>
      <c r="F105" s="2" t="s">
        <v>22</v>
      </c>
      <c r="G105" s="2" t="n">
        <v>318</v>
      </c>
      <c r="H105" s="2" t="s">
        <v>22</v>
      </c>
      <c r="I105" s="2" t="s">
        <v>23</v>
      </c>
      <c r="J105" s="2" t="n">
        <v>3845</v>
      </c>
      <c r="K105" s="2" t="n">
        <v>19315</v>
      </c>
      <c r="L105" s="2" t="n">
        <v>42349</v>
      </c>
      <c r="M105" s="2" t="n">
        <v>42</v>
      </c>
      <c r="N105" s="2" t="n">
        <v>9</v>
      </c>
      <c r="O105" s="2" t="n">
        <v>10</v>
      </c>
      <c r="P105" s="2" t="n">
        <v>0</v>
      </c>
      <c r="Q105" s="2" t="n">
        <v>3</v>
      </c>
      <c r="R105" s="3" t="s">
        <v>256</v>
      </c>
    </row>
    <row r="106" customFormat="false" ht="46.25" hidden="false" customHeight="false" outlineLevel="0" collapsed="false">
      <c r="A106" s="2" t="n">
        <v>105</v>
      </c>
      <c r="B106" s="2" t="s">
        <v>239</v>
      </c>
      <c r="C106" s="3" t="s">
        <v>240</v>
      </c>
      <c r="D106" s="2" t="s">
        <v>257</v>
      </c>
      <c r="E106" s="2" t="s">
        <v>21</v>
      </c>
      <c r="F106" s="2" t="s">
        <v>22</v>
      </c>
      <c r="G106" s="2" t="n">
        <v>391</v>
      </c>
      <c r="H106" s="2" t="s">
        <v>22</v>
      </c>
      <c r="I106" s="2" t="s">
        <v>22</v>
      </c>
      <c r="J106" s="2" t="n">
        <v>3155</v>
      </c>
      <c r="K106" s="2" t="n">
        <v>15773</v>
      </c>
      <c r="L106" s="2" t="n">
        <v>38793</v>
      </c>
      <c r="M106" s="2" t="n">
        <v>41</v>
      </c>
      <c r="N106" s="2" t="n">
        <v>5</v>
      </c>
      <c r="O106" s="2" t="n">
        <v>6</v>
      </c>
      <c r="P106" s="2" t="n">
        <v>1</v>
      </c>
      <c r="Q106" s="2" t="n">
        <v>4</v>
      </c>
      <c r="R106" s="3" t="s">
        <v>258</v>
      </c>
    </row>
    <row r="107" customFormat="false" ht="35.05" hidden="false" customHeight="false" outlineLevel="0" collapsed="false">
      <c r="A107" s="2" t="n">
        <v>106</v>
      </c>
      <c r="B107" s="2" t="s">
        <v>239</v>
      </c>
      <c r="C107" s="3" t="s">
        <v>240</v>
      </c>
      <c r="D107" s="2" t="s">
        <v>259</v>
      </c>
      <c r="E107" s="2" t="s">
        <v>21</v>
      </c>
      <c r="F107" s="2" t="s">
        <v>22</v>
      </c>
      <c r="G107" s="2" t="n">
        <v>267</v>
      </c>
      <c r="H107" s="2" t="s">
        <v>22</v>
      </c>
      <c r="I107" s="2" t="s">
        <v>23</v>
      </c>
      <c r="J107" s="2" t="n">
        <v>2825</v>
      </c>
      <c r="K107" s="2" t="n">
        <v>13816</v>
      </c>
      <c r="L107" s="2" t="n">
        <v>38054</v>
      </c>
      <c r="M107" s="2" t="n">
        <v>40</v>
      </c>
      <c r="N107" s="2" t="n">
        <v>6</v>
      </c>
      <c r="O107" s="2" t="n">
        <v>7</v>
      </c>
      <c r="P107" s="2" t="n">
        <v>0</v>
      </c>
      <c r="Q107" s="2" t="n">
        <v>3</v>
      </c>
      <c r="R107" s="3" t="s">
        <v>260</v>
      </c>
    </row>
    <row r="108" customFormat="false" ht="35.05" hidden="false" customHeight="false" outlineLevel="0" collapsed="false">
      <c r="A108" s="2" t="n">
        <v>107</v>
      </c>
      <c r="B108" s="2" t="s">
        <v>239</v>
      </c>
      <c r="C108" s="3" t="s">
        <v>240</v>
      </c>
      <c r="D108" s="2" t="s">
        <v>261</v>
      </c>
      <c r="E108" s="2" t="s">
        <v>21</v>
      </c>
      <c r="F108" s="2" t="s">
        <v>22</v>
      </c>
      <c r="G108" s="2" t="n">
        <v>282</v>
      </c>
      <c r="H108" s="2" t="s">
        <v>22</v>
      </c>
      <c r="I108" s="2" t="s">
        <v>23</v>
      </c>
      <c r="J108" s="2" t="n">
        <v>2990</v>
      </c>
      <c r="K108" s="2" t="n">
        <v>14970</v>
      </c>
      <c r="L108" s="2" t="n">
        <v>39057</v>
      </c>
      <c r="M108" s="2" t="n">
        <v>41</v>
      </c>
      <c r="N108" s="2" t="n">
        <v>5</v>
      </c>
      <c r="O108" s="2" t="n">
        <v>6</v>
      </c>
      <c r="P108" s="2" t="n">
        <v>0</v>
      </c>
      <c r="Q108" s="2" t="n">
        <v>4</v>
      </c>
      <c r="R108" s="3" t="s">
        <v>262</v>
      </c>
    </row>
    <row r="109" customFormat="false" ht="46.25" hidden="false" customHeight="false" outlineLevel="0" collapsed="false">
      <c r="A109" s="2" t="n">
        <v>108</v>
      </c>
      <c r="B109" s="2" t="s">
        <v>239</v>
      </c>
      <c r="C109" s="3" t="s">
        <v>240</v>
      </c>
      <c r="D109" s="2" t="s">
        <v>263</v>
      </c>
      <c r="E109" s="2" t="s">
        <v>21</v>
      </c>
      <c r="F109" s="2" t="s">
        <v>22</v>
      </c>
      <c r="G109" s="2" t="n">
        <v>383</v>
      </c>
      <c r="H109" s="2" t="s">
        <v>22</v>
      </c>
      <c r="I109" s="2" t="s">
        <v>23</v>
      </c>
      <c r="J109" s="2" t="n">
        <v>3133</v>
      </c>
      <c r="K109" s="2" t="n">
        <v>15515</v>
      </c>
      <c r="L109" s="2" t="n">
        <v>40043</v>
      </c>
      <c r="M109" s="2" t="n">
        <v>40</v>
      </c>
      <c r="N109" s="2" t="n">
        <v>7</v>
      </c>
      <c r="O109" s="2" t="n">
        <v>8</v>
      </c>
      <c r="P109" s="2" t="n">
        <v>0</v>
      </c>
      <c r="Q109" s="2" t="n">
        <v>3</v>
      </c>
      <c r="R109" s="3" t="s">
        <v>264</v>
      </c>
    </row>
    <row r="110" customFormat="false" ht="46.25" hidden="false" customHeight="false" outlineLevel="0" collapsed="false">
      <c r="A110" s="2" t="n">
        <v>109</v>
      </c>
      <c r="B110" s="2" t="s">
        <v>239</v>
      </c>
      <c r="C110" s="3" t="s">
        <v>240</v>
      </c>
      <c r="D110" s="2" t="s">
        <v>265</v>
      </c>
      <c r="E110" s="2" t="s">
        <v>21</v>
      </c>
      <c r="F110" s="2" t="s">
        <v>22</v>
      </c>
      <c r="G110" s="2" t="n">
        <v>352</v>
      </c>
      <c r="H110" s="2" t="s">
        <v>22</v>
      </c>
      <c r="I110" s="2" t="s">
        <v>23</v>
      </c>
      <c r="J110" s="2" t="n">
        <v>3138</v>
      </c>
      <c r="K110" s="2" t="n">
        <v>15935</v>
      </c>
      <c r="L110" s="2" t="n">
        <v>40049</v>
      </c>
      <c r="M110" s="2" t="n">
        <v>41</v>
      </c>
      <c r="N110" s="2" t="n">
        <v>4</v>
      </c>
      <c r="O110" s="2" t="n">
        <v>5</v>
      </c>
      <c r="P110" s="2" t="n">
        <v>1</v>
      </c>
      <c r="Q110" s="2" t="n">
        <v>4</v>
      </c>
      <c r="R110" s="3" t="s">
        <v>266</v>
      </c>
    </row>
    <row r="111" customFormat="false" ht="35.05" hidden="false" customHeight="false" outlineLevel="0" collapsed="false">
      <c r="A111" s="2" t="n">
        <v>110</v>
      </c>
      <c r="B111" s="2" t="s">
        <v>239</v>
      </c>
      <c r="C111" s="3" t="s">
        <v>240</v>
      </c>
      <c r="D111" s="2" t="s">
        <v>267</v>
      </c>
      <c r="E111" s="2" t="s">
        <v>21</v>
      </c>
      <c r="F111" s="2" t="s">
        <v>22</v>
      </c>
      <c r="G111" s="2" t="n">
        <v>277</v>
      </c>
      <c r="H111" s="2" t="s">
        <v>22</v>
      </c>
      <c r="I111" s="2" t="s">
        <v>23</v>
      </c>
      <c r="J111" s="2" t="n">
        <v>3431</v>
      </c>
      <c r="K111" s="2" t="n">
        <v>17138</v>
      </c>
      <c r="L111" s="2" t="n">
        <v>41796</v>
      </c>
      <c r="M111" s="2" t="n">
        <v>41</v>
      </c>
      <c r="N111" s="2" t="n">
        <v>7</v>
      </c>
      <c r="O111" s="2" t="n">
        <v>8</v>
      </c>
      <c r="P111" s="2" t="n">
        <v>0</v>
      </c>
      <c r="Q111" s="2" t="n">
        <v>3</v>
      </c>
      <c r="R111" s="3" t="s">
        <v>268</v>
      </c>
    </row>
    <row r="112" customFormat="false" ht="46.25" hidden="false" customHeight="false" outlineLevel="0" collapsed="false">
      <c r="A112" s="2" t="n">
        <v>111</v>
      </c>
      <c r="B112" s="2" t="s">
        <v>239</v>
      </c>
      <c r="C112" s="3" t="s">
        <v>240</v>
      </c>
      <c r="D112" s="2" t="s">
        <v>269</v>
      </c>
      <c r="E112" s="2" t="s">
        <v>21</v>
      </c>
      <c r="F112" s="2" t="s">
        <v>22</v>
      </c>
      <c r="G112" s="2" t="n">
        <v>327</v>
      </c>
      <c r="H112" s="2" t="s">
        <v>22</v>
      </c>
      <c r="I112" s="2" t="s">
        <v>23</v>
      </c>
      <c r="J112" s="2" t="n">
        <v>3110</v>
      </c>
      <c r="K112" s="2" t="n">
        <v>15496</v>
      </c>
      <c r="L112" s="2" t="n">
        <v>42439</v>
      </c>
      <c r="M112" s="2" t="n">
        <v>43</v>
      </c>
      <c r="N112" s="2" t="n">
        <v>5</v>
      </c>
      <c r="O112" s="2" t="n">
        <v>6</v>
      </c>
      <c r="P112" s="2" t="n">
        <v>0</v>
      </c>
      <c r="Q112" s="2" t="n">
        <v>4</v>
      </c>
      <c r="R112" s="3" t="s">
        <v>270</v>
      </c>
    </row>
    <row r="113" customFormat="false" ht="46.25" hidden="false" customHeight="false" outlineLevel="0" collapsed="false">
      <c r="A113" s="2" t="n">
        <v>112</v>
      </c>
      <c r="B113" s="2" t="s">
        <v>271</v>
      </c>
      <c r="C113" s="3" t="s">
        <v>272</v>
      </c>
      <c r="D113" s="2" t="s">
        <v>273</v>
      </c>
      <c r="E113" s="2" t="s">
        <v>21</v>
      </c>
      <c r="F113" s="2" t="s">
        <v>22</v>
      </c>
      <c r="G113" s="2" t="n">
        <v>368</v>
      </c>
      <c r="H113" s="2" t="s">
        <v>22</v>
      </c>
      <c r="I113" s="2" t="s">
        <v>23</v>
      </c>
      <c r="J113" s="2" t="n">
        <v>2919</v>
      </c>
      <c r="K113" s="2" t="n">
        <v>14619</v>
      </c>
      <c r="L113" s="2" t="n">
        <v>38429</v>
      </c>
      <c r="M113" s="2" t="n">
        <v>40</v>
      </c>
      <c r="N113" s="2" t="n">
        <v>7</v>
      </c>
      <c r="O113" s="2" t="n">
        <v>8</v>
      </c>
      <c r="P113" s="2" t="n">
        <v>1</v>
      </c>
      <c r="Q113" s="2" t="n">
        <v>3</v>
      </c>
      <c r="R113" s="3" t="s">
        <v>274</v>
      </c>
    </row>
    <row r="114" customFormat="false" ht="46.25" hidden="false" customHeight="false" outlineLevel="0" collapsed="false">
      <c r="A114" s="2" t="n">
        <v>113</v>
      </c>
      <c r="B114" s="2" t="s">
        <v>271</v>
      </c>
      <c r="C114" s="3" t="s">
        <v>272</v>
      </c>
      <c r="D114" s="2" t="s">
        <v>275</v>
      </c>
      <c r="E114" s="2" t="s">
        <v>21</v>
      </c>
      <c r="F114" s="2" t="s">
        <v>22</v>
      </c>
      <c r="G114" s="2" t="n">
        <v>334</v>
      </c>
      <c r="H114" s="2" t="s">
        <v>22</v>
      </c>
      <c r="I114" s="2" t="s">
        <v>23</v>
      </c>
      <c r="J114" s="2" t="n">
        <v>2627</v>
      </c>
      <c r="K114" s="2" t="n">
        <v>13128</v>
      </c>
      <c r="L114" s="2" t="n">
        <v>37087</v>
      </c>
      <c r="M114" s="2" t="n">
        <v>40</v>
      </c>
      <c r="N114" s="2" t="n">
        <v>7</v>
      </c>
      <c r="O114" s="2" t="n">
        <v>8</v>
      </c>
      <c r="P114" s="2" t="n">
        <v>0</v>
      </c>
      <c r="Q114" s="2" t="n">
        <v>3</v>
      </c>
      <c r="R114" s="3" t="s">
        <v>276</v>
      </c>
    </row>
    <row r="115" customFormat="false" ht="46.25" hidden="false" customHeight="false" outlineLevel="0" collapsed="false">
      <c r="A115" s="2" t="n">
        <v>114</v>
      </c>
      <c r="B115" s="2" t="s">
        <v>271</v>
      </c>
      <c r="C115" s="3" t="s">
        <v>272</v>
      </c>
      <c r="D115" s="2" t="s">
        <v>277</v>
      </c>
      <c r="E115" s="2" t="s">
        <v>21</v>
      </c>
      <c r="F115" s="2" t="s">
        <v>22</v>
      </c>
      <c r="G115" s="2" t="n">
        <v>387</v>
      </c>
      <c r="H115" s="2" t="s">
        <v>22</v>
      </c>
      <c r="I115" s="2" t="s">
        <v>23</v>
      </c>
      <c r="J115" s="2" t="n">
        <v>3260</v>
      </c>
      <c r="K115" s="2" t="n">
        <v>16139</v>
      </c>
      <c r="L115" s="2" t="n">
        <v>40926</v>
      </c>
      <c r="M115" s="2" t="n">
        <v>40</v>
      </c>
      <c r="N115" s="2" t="n">
        <v>7</v>
      </c>
      <c r="O115" s="2" t="n">
        <v>8</v>
      </c>
      <c r="P115" s="2" t="n">
        <v>0</v>
      </c>
      <c r="Q115" s="2" t="n">
        <v>3</v>
      </c>
      <c r="R115" s="3" t="s">
        <v>278</v>
      </c>
    </row>
    <row r="116" customFormat="false" ht="46.25" hidden="false" customHeight="false" outlineLevel="0" collapsed="false">
      <c r="A116" s="2" t="n">
        <v>115</v>
      </c>
      <c r="B116" s="2" t="s">
        <v>271</v>
      </c>
      <c r="C116" s="3" t="s">
        <v>272</v>
      </c>
      <c r="D116" s="2" t="s">
        <v>279</v>
      </c>
      <c r="E116" s="2" t="s">
        <v>21</v>
      </c>
      <c r="F116" s="2" t="s">
        <v>22</v>
      </c>
      <c r="G116" s="2" t="n">
        <v>382</v>
      </c>
      <c r="H116" s="2" t="s">
        <v>22</v>
      </c>
      <c r="I116" s="2" t="s">
        <v>23</v>
      </c>
      <c r="J116" s="2" t="n">
        <v>2690</v>
      </c>
      <c r="K116" s="2" t="n">
        <v>13399</v>
      </c>
      <c r="L116" s="2" t="n">
        <v>37339</v>
      </c>
      <c r="M116" s="2" t="n">
        <v>40</v>
      </c>
      <c r="N116" s="2" t="n">
        <v>7</v>
      </c>
      <c r="O116" s="2" t="n">
        <v>8</v>
      </c>
      <c r="P116" s="2" t="n">
        <v>0</v>
      </c>
      <c r="Q116" s="2" t="n">
        <v>3</v>
      </c>
      <c r="R116" s="3" t="s">
        <v>280</v>
      </c>
    </row>
    <row r="117" customFormat="false" ht="46.25" hidden="false" customHeight="false" outlineLevel="0" collapsed="false">
      <c r="A117" s="2" t="n">
        <v>116</v>
      </c>
      <c r="B117" s="2" t="s">
        <v>271</v>
      </c>
      <c r="C117" s="3" t="s">
        <v>272</v>
      </c>
      <c r="D117" s="2" t="s">
        <v>281</v>
      </c>
      <c r="E117" s="2" t="s">
        <v>21</v>
      </c>
      <c r="F117" s="2" t="s">
        <v>22</v>
      </c>
      <c r="G117" s="2" t="n">
        <v>388</v>
      </c>
      <c r="H117" s="2" t="s">
        <v>22</v>
      </c>
      <c r="I117" s="2" t="s">
        <v>23</v>
      </c>
      <c r="J117" s="2" t="n">
        <v>2799</v>
      </c>
      <c r="K117" s="2" t="n">
        <v>13957</v>
      </c>
      <c r="L117" s="2" t="n">
        <v>36802</v>
      </c>
      <c r="M117" s="2" t="n">
        <v>40</v>
      </c>
      <c r="N117" s="2" t="n">
        <v>7</v>
      </c>
      <c r="O117" s="2" t="n">
        <v>8</v>
      </c>
      <c r="P117" s="2" t="n">
        <v>1</v>
      </c>
      <c r="Q117" s="2" t="n">
        <v>3</v>
      </c>
      <c r="R117" s="3" t="s">
        <v>282</v>
      </c>
    </row>
    <row r="118" customFormat="false" ht="46.25" hidden="false" customHeight="false" outlineLevel="0" collapsed="false">
      <c r="A118" s="2" t="n">
        <v>117</v>
      </c>
      <c r="B118" s="2" t="s">
        <v>271</v>
      </c>
      <c r="C118" s="3" t="s">
        <v>272</v>
      </c>
      <c r="D118" s="2" t="s">
        <v>283</v>
      </c>
      <c r="E118" s="2" t="s">
        <v>21</v>
      </c>
      <c r="F118" s="2" t="s">
        <v>22</v>
      </c>
      <c r="G118" s="2" t="n">
        <v>347</v>
      </c>
      <c r="H118" s="2" t="s">
        <v>22</v>
      </c>
      <c r="I118" s="2" t="s">
        <v>23</v>
      </c>
      <c r="J118" s="2" t="n">
        <v>2639</v>
      </c>
      <c r="K118" s="2" t="n">
        <v>13095</v>
      </c>
      <c r="L118" s="2" t="n">
        <v>35897</v>
      </c>
      <c r="M118" s="2" t="n">
        <v>40</v>
      </c>
      <c r="N118" s="2" t="n">
        <v>5</v>
      </c>
      <c r="O118" s="2" t="n">
        <v>6</v>
      </c>
      <c r="P118" s="2" t="n">
        <v>0</v>
      </c>
      <c r="Q118" s="2" t="n">
        <v>5</v>
      </c>
      <c r="R118" s="3" t="s">
        <v>284</v>
      </c>
    </row>
    <row r="119" customFormat="false" ht="46.25" hidden="false" customHeight="false" outlineLevel="0" collapsed="false">
      <c r="A119" s="2" t="n">
        <v>118</v>
      </c>
      <c r="B119" s="2" t="s">
        <v>285</v>
      </c>
      <c r="C119" s="3" t="s">
        <v>286</v>
      </c>
      <c r="D119" s="2" t="s">
        <v>287</v>
      </c>
      <c r="E119" s="2" t="s">
        <v>21</v>
      </c>
      <c r="F119" s="2" t="s">
        <v>22</v>
      </c>
      <c r="G119" s="2" t="n">
        <v>340</v>
      </c>
      <c r="H119" s="2" t="s">
        <v>22</v>
      </c>
      <c r="I119" s="2" t="s">
        <v>23</v>
      </c>
      <c r="J119" s="2" t="n">
        <v>2954</v>
      </c>
      <c r="K119" s="2" t="n">
        <v>14501</v>
      </c>
      <c r="L119" s="2" t="n">
        <v>41575</v>
      </c>
      <c r="M119" s="2" t="n">
        <v>42</v>
      </c>
      <c r="N119" s="2" t="n">
        <v>6</v>
      </c>
      <c r="O119" s="2" t="n">
        <v>7</v>
      </c>
      <c r="P119" s="2" t="n">
        <v>0</v>
      </c>
      <c r="Q119" s="2" t="n">
        <v>3</v>
      </c>
      <c r="R119" s="3" t="s">
        <v>288</v>
      </c>
    </row>
    <row r="120" customFormat="false" ht="46.25" hidden="false" customHeight="false" outlineLevel="0" collapsed="false">
      <c r="A120" s="2" t="n">
        <v>119</v>
      </c>
      <c r="B120" s="2" t="s">
        <v>285</v>
      </c>
      <c r="C120" s="3" t="s">
        <v>286</v>
      </c>
      <c r="D120" s="2" t="s">
        <v>289</v>
      </c>
      <c r="E120" s="2" t="s">
        <v>21</v>
      </c>
      <c r="F120" s="2" t="s">
        <v>22</v>
      </c>
      <c r="G120" s="2" t="n">
        <v>362</v>
      </c>
      <c r="H120" s="2" t="s">
        <v>22</v>
      </c>
      <c r="I120" s="2" t="s">
        <v>23</v>
      </c>
      <c r="J120" s="2" t="n">
        <v>3194</v>
      </c>
      <c r="K120" s="2" t="n">
        <v>15773</v>
      </c>
      <c r="L120" s="2" t="n">
        <v>39720</v>
      </c>
      <c r="M120" s="2" t="n">
        <v>39</v>
      </c>
      <c r="N120" s="2" t="n">
        <v>8</v>
      </c>
      <c r="O120" s="2" t="n">
        <v>9</v>
      </c>
      <c r="P120" s="2" t="n">
        <v>1</v>
      </c>
      <c r="Q120" s="2" t="n">
        <v>3</v>
      </c>
      <c r="R120" s="3" t="s">
        <v>290</v>
      </c>
    </row>
    <row r="121" customFormat="false" ht="46.25" hidden="false" customHeight="false" outlineLevel="0" collapsed="false">
      <c r="A121" s="2" t="n">
        <v>120</v>
      </c>
      <c r="B121" s="2" t="s">
        <v>285</v>
      </c>
      <c r="C121" s="3" t="s">
        <v>286</v>
      </c>
      <c r="D121" s="2" t="s">
        <v>291</v>
      </c>
      <c r="E121" s="2" t="s">
        <v>21</v>
      </c>
      <c r="F121" s="2" t="s">
        <v>22</v>
      </c>
      <c r="G121" s="2" t="n">
        <v>399</v>
      </c>
      <c r="H121" s="2" t="s">
        <v>22</v>
      </c>
      <c r="I121" s="2" t="s">
        <v>23</v>
      </c>
      <c r="J121" s="2" t="n">
        <v>2781</v>
      </c>
      <c r="K121" s="2" t="n">
        <v>13851</v>
      </c>
      <c r="L121" s="2" t="n">
        <v>38801</v>
      </c>
      <c r="M121" s="2" t="n">
        <v>39</v>
      </c>
      <c r="N121" s="2" t="n">
        <v>5</v>
      </c>
      <c r="O121" s="2" t="n">
        <v>6</v>
      </c>
      <c r="P121" s="2" t="n">
        <v>2</v>
      </c>
      <c r="Q121" s="2" t="n">
        <v>3</v>
      </c>
      <c r="R121" s="3" t="s">
        <v>292</v>
      </c>
    </row>
    <row r="122" customFormat="false" ht="35.05" hidden="false" customHeight="false" outlineLevel="0" collapsed="false">
      <c r="A122" s="2" t="n">
        <v>121</v>
      </c>
      <c r="B122" s="2" t="s">
        <v>285</v>
      </c>
      <c r="C122" s="3" t="s">
        <v>286</v>
      </c>
      <c r="D122" s="2" t="s">
        <v>293</v>
      </c>
      <c r="E122" s="2" t="s">
        <v>21</v>
      </c>
      <c r="F122" s="2" t="s">
        <v>22</v>
      </c>
      <c r="G122" s="2" t="n">
        <v>289</v>
      </c>
      <c r="H122" s="2" t="s">
        <v>22</v>
      </c>
      <c r="I122" s="2" t="s">
        <v>23</v>
      </c>
      <c r="J122" s="2" t="n">
        <v>2810</v>
      </c>
      <c r="K122" s="2" t="n">
        <v>14139</v>
      </c>
      <c r="L122" s="2" t="n">
        <v>38387</v>
      </c>
      <c r="M122" s="2" t="n">
        <v>39</v>
      </c>
      <c r="N122" s="2" t="n">
        <v>5</v>
      </c>
      <c r="O122" s="2" t="n">
        <v>6</v>
      </c>
      <c r="P122" s="2" t="n">
        <v>2</v>
      </c>
      <c r="Q122" s="2" t="n">
        <v>3</v>
      </c>
      <c r="R122" s="3" t="s">
        <v>294</v>
      </c>
    </row>
    <row r="123" customFormat="false" ht="46.25" hidden="false" customHeight="false" outlineLevel="0" collapsed="false">
      <c r="A123" s="2" t="n">
        <v>122</v>
      </c>
      <c r="B123" s="2" t="s">
        <v>285</v>
      </c>
      <c r="C123" s="3" t="s">
        <v>286</v>
      </c>
      <c r="D123" s="2" t="s">
        <v>295</v>
      </c>
      <c r="E123" s="2" t="s">
        <v>21</v>
      </c>
      <c r="F123" s="2" t="s">
        <v>22</v>
      </c>
      <c r="G123" s="2" t="n">
        <v>385</v>
      </c>
      <c r="H123" s="2" t="s">
        <v>22</v>
      </c>
      <c r="I123" s="2" t="s">
        <v>23</v>
      </c>
      <c r="J123" s="2" t="n">
        <v>3210</v>
      </c>
      <c r="K123" s="2" t="n">
        <v>15996</v>
      </c>
      <c r="L123" s="2" t="n">
        <v>40073</v>
      </c>
      <c r="M123" s="2" t="n">
        <v>39</v>
      </c>
      <c r="N123" s="2" t="n">
        <v>9</v>
      </c>
      <c r="O123" s="2" t="n">
        <v>10</v>
      </c>
      <c r="P123" s="2" t="n">
        <v>0</v>
      </c>
      <c r="Q123" s="2" t="n">
        <v>3</v>
      </c>
      <c r="R123" s="3" t="s">
        <v>296</v>
      </c>
    </row>
    <row r="124" customFormat="false" ht="46.25" hidden="false" customHeight="false" outlineLevel="0" collapsed="false">
      <c r="A124" s="2" t="n">
        <v>123</v>
      </c>
      <c r="B124" s="2" t="s">
        <v>297</v>
      </c>
      <c r="C124" s="3" t="s">
        <v>298</v>
      </c>
      <c r="D124" s="2" t="s">
        <v>299</v>
      </c>
      <c r="E124" s="2" t="s">
        <v>21</v>
      </c>
      <c r="F124" s="2" t="s">
        <v>22</v>
      </c>
      <c r="G124" s="2" t="n">
        <v>378</v>
      </c>
      <c r="H124" s="2" t="s">
        <v>22</v>
      </c>
      <c r="I124" s="2" t="s">
        <v>23</v>
      </c>
      <c r="J124" s="2" t="n">
        <v>2979</v>
      </c>
      <c r="K124" s="2" t="n">
        <v>15073</v>
      </c>
      <c r="L124" s="2" t="n">
        <v>42513</v>
      </c>
      <c r="M124" s="2" t="n">
        <v>42</v>
      </c>
      <c r="N124" s="2" t="n">
        <v>5</v>
      </c>
      <c r="O124" s="2" t="n">
        <v>6</v>
      </c>
      <c r="P124" s="2" t="n">
        <v>1</v>
      </c>
      <c r="Q124" s="2" t="n">
        <v>3</v>
      </c>
      <c r="R124" s="3" t="s">
        <v>300</v>
      </c>
    </row>
    <row r="125" customFormat="false" ht="35.05" hidden="false" customHeight="false" outlineLevel="0" collapsed="false">
      <c r="A125" s="2" t="n">
        <v>124</v>
      </c>
      <c r="B125" s="2" t="s">
        <v>297</v>
      </c>
      <c r="C125" s="3" t="s">
        <v>298</v>
      </c>
      <c r="D125" s="2" t="s">
        <v>301</v>
      </c>
      <c r="E125" s="2" t="s">
        <v>64</v>
      </c>
      <c r="F125" s="2" t="s">
        <v>22</v>
      </c>
      <c r="G125" s="2" t="n">
        <v>279</v>
      </c>
      <c r="H125" s="2" t="s">
        <v>22</v>
      </c>
      <c r="I125" s="2" t="s">
        <v>23</v>
      </c>
      <c r="J125" s="2" t="n">
        <v>3068</v>
      </c>
      <c r="K125" s="2" t="n">
        <v>15254</v>
      </c>
      <c r="L125" s="2" t="n">
        <v>37440</v>
      </c>
      <c r="M125" s="2" t="n">
        <v>40</v>
      </c>
      <c r="N125" s="2" t="n">
        <v>6</v>
      </c>
      <c r="O125" s="2" t="n">
        <v>7</v>
      </c>
      <c r="P125" s="2" t="n">
        <v>0</v>
      </c>
      <c r="Q125" s="2" t="n">
        <v>3</v>
      </c>
      <c r="R125" s="3" t="s">
        <v>302</v>
      </c>
    </row>
    <row r="126" customFormat="false" ht="46.25" hidden="false" customHeight="false" outlineLevel="0" collapsed="false">
      <c r="A126" s="2" t="n">
        <v>125</v>
      </c>
      <c r="B126" s="2" t="s">
        <v>297</v>
      </c>
      <c r="C126" s="3" t="s">
        <v>298</v>
      </c>
      <c r="D126" s="2" t="s">
        <v>303</v>
      </c>
      <c r="E126" s="2" t="s">
        <v>64</v>
      </c>
      <c r="F126" s="2" t="s">
        <v>22</v>
      </c>
      <c r="G126" s="2" t="n">
        <v>377</v>
      </c>
      <c r="H126" s="2" t="s">
        <v>22</v>
      </c>
      <c r="I126" s="2" t="s">
        <v>23</v>
      </c>
      <c r="J126" s="2" t="n">
        <v>3116</v>
      </c>
      <c r="K126" s="2" t="n">
        <v>15472</v>
      </c>
      <c r="L126" s="2" t="n">
        <v>40816</v>
      </c>
      <c r="M126" s="2" t="n">
        <v>42</v>
      </c>
      <c r="N126" s="2" t="n">
        <v>6</v>
      </c>
      <c r="O126" s="2" t="n">
        <v>7</v>
      </c>
      <c r="P126" s="2" t="n">
        <v>1</v>
      </c>
      <c r="Q126" s="2" t="n">
        <v>3</v>
      </c>
      <c r="R126" s="3" t="s">
        <v>304</v>
      </c>
    </row>
    <row r="127" customFormat="false" ht="35.05" hidden="false" customHeight="false" outlineLevel="0" collapsed="false">
      <c r="A127" s="2" t="n">
        <v>126</v>
      </c>
      <c r="B127" s="2" t="s">
        <v>297</v>
      </c>
      <c r="C127" s="3" t="s">
        <v>298</v>
      </c>
      <c r="D127" s="2" t="s">
        <v>305</v>
      </c>
      <c r="E127" s="2" t="s">
        <v>64</v>
      </c>
      <c r="F127" s="2" t="s">
        <v>22</v>
      </c>
      <c r="G127" s="2" t="n">
        <v>302</v>
      </c>
      <c r="H127" s="2" t="s">
        <v>22</v>
      </c>
      <c r="I127" s="2" t="s">
        <v>23</v>
      </c>
      <c r="J127" s="2" t="n">
        <v>3590</v>
      </c>
      <c r="K127" s="2" t="n">
        <v>17762</v>
      </c>
      <c r="L127" s="2" t="n">
        <v>39834</v>
      </c>
      <c r="M127" s="2" t="n">
        <v>40</v>
      </c>
      <c r="N127" s="2" t="n">
        <v>5</v>
      </c>
      <c r="O127" s="2" t="n">
        <v>6</v>
      </c>
      <c r="P127" s="2" t="n">
        <v>2</v>
      </c>
      <c r="Q127" s="2" t="n">
        <v>4</v>
      </c>
      <c r="R127" s="3" t="s">
        <v>306</v>
      </c>
    </row>
    <row r="128" customFormat="false" ht="35.05" hidden="false" customHeight="false" outlineLevel="0" collapsed="false">
      <c r="A128" s="2" t="n">
        <v>127</v>
      </c>
      <c r="B128" s="2" t="s">
        <v>297</v>
      </c>
      <c r="C128" s="3" t="s">
        <v>298</v>
      </c>
      <c r="D128" s="2" t="s">
        <v>307</v>
      </c>
      <c r="E128" s="2" t="s">
        <v>64</v>
      </c>
      <c r="F128" s="2" t="s">
        <v>22</v>
      </c>
      <c r="G128" s="2" t="n">
        <v>276</v>
      </c>
      <c r="H128" s="2" t="s">
        <v>22</v>
      </c>
      <c r="I128" s="2" t="s">
        <v>23</v>
      </c>
      <c r="J128" s="2" t="n">
        <v>2937</v>
      </c>
      <c r="K128" s="2" t="n">
        <v>14578</v>
      </c>
      <c r="L128" s="2" t="n">
        <v>37131</v>
      </c>
      <c r="M128" s="2" t="n">
        <v>40</v>
      </c>
      <c r="N128" s="2" t="n">
        <v>5</v>
      </c>
      <c r="O128" s="2" t="n">
        <v>6</v>
      </c>
      <c r="P128" s="2" t="n">
        <v>1</v>
      </c>
      <c r="Q128" s="2" t="n">
        <v>3</v>
      </c>
      <c r="R128" s="3" t="s">
        <v>308</v>
      </c>
    </row>
    <row r="129" customFormat="false" ht="46.25" hidden="false" customHeight="false" outlineLevel="0" collapsed="false">
      <c r="A129" s="2" t="n">
        <v>128</v>
      </c>
      <c r="B129" s="2" t="s">
        <v>297</v>
      </c>
      <c r="C129" s="3" t="s">
        <v>298</v>
      </c>
      <c r="D129" s="2" t="s">
        <v>309</v>
      </c>
      <c r="E129" s="2" t="s">
        <v>64</v>
      </c>
      <c r="F129" s="2" t="s">
        <v>22</v>
      </c>
      <c r="G129" s="2" t="n">
        <v>335</v>
      </c>
      <c r="H129" s="2" t="s">
        <v>22</v>
      </c>
      <c r="I129" s="2" t="s">
        <v>23</v>
      </c>
      <c r="J129" s="2" t="n">
        <v>2457</v>
      </c>
      <c r="K129" s="2" t="n">
        <v>12474</v>
      </c>
      <c r="L129" s="2" t="n">
        <v>37538</v>
      </c>
      <c r="M129" s="2" t="n">
        <v>41</v>
      </c>
      <c r="N129" s="2" t="n">
        <v>5</v>
      </c>
      <c r="O129" s="2" t="n">
        <v>6</v>
      </c>
      <c r="P129" s="2" t="n">
        <v>1</v>
      </c>
      <c r="Q129" s="2" t="n">
        <v>6</v>
      </c>
      <c r="R129" s="3" t="s">
        <v>310</v>
      </c>
    </row>
    <row r="130" customFormat="false" ht="46.25" hidden="false" customHeight="false" outlineLevel="0" collapsed="false">
      <c r="A130" s="2" t="n">
        <v>129</v>
      </c>
      <c r="B130" s="2" t="s">
        <v>297</v>
      </c>
      <c r="C130" s="3" t="s">
        <v>298</v>
      </c>
      <c r="D130" s="2" t="s">
        <v>311</v>
      </c>
      <c r="E130" s="2" t="s">
        <v>21</v>
      </c>
      <c r="F130" s="2" t="s">
        <v>22</v>
      </c>
      <c r="G130" s="2" t="n">
        <v>322</v>
      </c>
      <c r="H130" s="2" t="s">
        <v>22</v>
      </c>
      <c r="I130" s="2" t="s">
        <v>23</v>
      </c>
      <c r="J130" s="2" t="n">
        <v>3192</v>
      </c>
      <c r="K130" s="2" t="n">
        <v>15957</v>
      </c>
      <c r="L130" s="2" t="n">
        <v>40128</v>
      </c>
      <c r="M130" s="2" t="n">
        <v>40</v>
      </c>
      <c r="N130" s="2" t="n">
        <v>6</v>
      </c>
      <c r="O130" s="2" t="n">
        <v>7</v>
      </c>
      <c r="P130" s="2" t="n">
        <v>0</v>
      </c>
      <c r="Q130" s="2" t="n">
        <v>3</v>
      </c>
      <c r="R130" s="3" t="s">
        <v>312</v>
      </c>
    </row>
    <row r="131" customFormat="false" ht="46.25" hidden="false" customHeight="false" outlineLevel="0" collapsed="false">
      <c r="A131" s="2" t="n">
        <v>130</v>
      </c>
      <c r="B131" s="2" t="s">
        <v>313</v>
      </c>
      <c r="C131" s="3" t="s">
        <v>314</v>
      </c>
      <c r="D131" s="2" t="s">
        <v>315</v>
      </c>
      <c r="E131" s="2" t="s">
        <v>21</v>
      </c>
      <c r="F131" s="2" t="s">
        <v>22</v>
      </c>
      <c r="G131" s="2" t="n">
        <v>334</v>
      </c>
      <c r="H131" s="2" t="s">
        <v>22</v>
      </c>
      <c r="I131" s="2" t="s">
        <v>23</v>
      </c>
      <c r="J131" s="2" t="n">
        <v>2662</v>
      </c>
      <c r="K131" s="2" t="n">
        <v>13141</v>
      </c>
      <c r="L131" s="2" t="n">
        <v>39930</v>
      </c>
      <c r="M131" s="2" t="n">
        <v>41</v>
      </c>
      <c r="N131" s="2" t="n">
        <v>6</v>
      </c>
      <c r="O131" s="2" t="n">
        <v>7</v>
      </c>
      <c r="P131" s="2" t="n">
        <v>0</v>
      </c>
      <c r="Q131" s="2" t="n">
        <v>3</v>
      </c>
      <c r="R131" s="3" t="s">
        <v>316</v>
      </c>
    </row>
    <row r="132" customFormat="false" ht="35.05" hidden="false" customHeight="false" outlineLevel="0" collapsed="false">
      <c r="A132" s="2" t="n">
        <v>131</v>
      </c>
      <c r="B132" s="2" t="s">
        <v>313</v>
      </c>
      <c r="C132" s="3" t="s">
        <v>314</v>
      </c>
      <c r="D132" s="2" t="s">
        <v>317</v>
      </c>
      <c r="E132" s="2" t="s">
        <v>21</v>
      </c>
      <c r="F132" s="2" t="s">
        <v>22</v>
      </c>
      <c r="G132" s="2" t="n">
        <v>261</v>
      </c>
      <c r="H132" s="2" t="s">
        <v>22</v>
      </c>
      <c r="I132" s="2" t="s">
        <v>23</v>
      </c>
      <c r="J132" s="2" t="n">
        <v>2901</v>
      </c>
      <c r="K132" s="2" t="n">
        <v>14306</v>
      </c>
      <c r="L132" s="2" t="n">
        <v>38127</v>
      </c>
      <c r="M132" s="2" t="n">
        <v>38</v>
      </c>
      <c r="N132" s="2" t="n">
        <v>6</v>
      </c>
      <c r="O132" s="2" t="n">
        <v>7</v>
      </c>
      <c r="P132" s="2" t="n">
        <v>1</v>
      </c>
      <c r="Q132" s="2" t="n">
        <v>3</v>
      </c>
      <c r="R132" s="3" t="s">
        <v>318</v>
      </c>
    </row>
    <row r="133" customFormat="false" ht="46.25" hidden="false" customHeight="false" outlineLevel="0" collapsed="false">
      <c r="A133" s="2" t="n">
        <v>132</v>
      </c>
      <c r="B133" s="2" t="s">
        <v>319</v>
      </c>
      <c r="C133" s="3" t="s">
        <v>320</v>
      </c>
      <c r="D133" s="2" t="s">
        <v>321</v>
      </c>
      <c r="E133" s="2" t="s">
        <v>21</v>
      </c>
      <c r="F133" s="2" t="s">
        <v>22</v>
      </c>
      <c r="G133" s="2" t="n">
        <v>378</v>
      </c>
      <c r="H133" s="2" t="s">
        <v>22</v>
      </c>
      <c r="I133" s="2" t="s">
        <v>23</v>
      </c>
      <c r="J133" s="2" t="n">
        <v>3714</v>
      </c>
      <c r="K133" s="2" t="n">
        <v>18638</v>
      </c>
      <c r="L133" s="2" t="n">
        <v>45838</v>
      </c>
      <c r="M133" s="2" t="n">
        <v>43</v>
      </c>
      <c r="N133" s="2" t="n">
        <v>9</v>
      </c>
      <c r="O133" s="2" t="n">
        <v>10</v>
      </c>
      <c r="P133" s="2" t="n">
        <v>0</v>
      </c>
      <c r="Q133" s="2" t="n">
        <v>3</v>
      </c>
      <c r="R133" s="3" t="s">
        <v>322</v>
      </c>
    </row>
    <row r="134" customFormat="false" ht="46.25" hidden="false" customHeight="false" outlineLevel="0" collapsed="false">
      <c r="A134" s="2" t="n">
        <v>133</v>
      </c>
      <c r="B134" s="2" t="s">
        <v>319</v>
      </c>
      <c r="C134" s="3" t="s">
        <v>320</v>
      </c>
      <c r="D134" s="2" t="s">
        <v>323</v>
      </c>
      <c r="E134" s="2" t="s">
        <v>21</v>
      </c>
      <c r="F134" s="2" t="s">
        <v>22</v>
      </c>
      <c r="G134" s="2" t="n">
        <v>340</v>
      </c>
      <c r="H134" s="2" t="s">
        <v>22</v>
      </c>
      <c r="I134" s="2" t="s">
        <v>23</v>
      </c>
      <c r="J134" s="2" t="n">
        <v>2832</v>
      </c>
      <c r="K134" s="2" t="n">
        <v>14099</v>
      </c>
      <c r="L134" s="2" t="n">
        <v>36953</v>
      </c>
      <c r="M134" s="2" t="n">
        <v>41</v>
      </c>
      <c r="N134" s="2" t="n">
        <v>7</v>
      </c>
      <c r="O134" s="2" t="n">
        <v>8</v>
      </c>
      <c r="P134" s="2" t="n">
        <v>0</v>
      </c>
      <c r="Q134" s="2" t="n">
        <v>9</v>
      </c>
      <c r="R134" s="3" t="s">
        <v>324</v>
      </c>
    </row>
    <row r="135" customFormat="false" ht="23.85" hidden="false" customHeight="false" outlineLevel="0" collapsed="false">
      <c r="A135" s="2" t="n">
        <v>134</v>
      </c>
      <c r="B135" s="2" t="s">
        <v>319</v>
      </c>
      <c r="C135" s="3" t="s">
        <v>320</v>
      </c>
      <c r="D135" s="2" t="s">
        <v>325</v>
      </c>
      <c r="E135" s="2" t="s">
        <v>21</v>
      </c>
      <c r="F135" s="2" t="s">
        <v>22</v>
      </c>
      <c r="G135" s="2" t="n">
        <v>208</v>
      </c>
      <c r="H135" s="2" t="s">
        <v>22</v>
      </c>
      <c r="I135" s="2" t="s">
        <v>22</v>
      </c>
      <c r="J135" s="2" t="n">
        <v>2534</v>
      </c>
      <c r="K135" s="2" t="n">
        <v>12519</v>
      </c>
      <c r="L135" s="2" t="n">
        <v>35230</v>
      </c>
      <c r="M135" s="2" t="n">
        <v>40</v>
      </c>
      <c r="N135" s="2" t="n">
        <v>5</v>
      </c>
      <c r="O135" s="2" t="n">
        <v>6</v>
      </c>
      <c r="P135" s="2" t="n">
        <v>1</v>
      </c>
      <c r="Q135" s="2" t="n">
        <v>6</v>
      </c>
      <c r="R135" s="3" t="s">
        <v>326</v>
      </c>
    </row>
    <row r="136" customFormat="false" ht="46.25" hidden="false" customHeight="false" outlineLevel="0" collapsed="false">
      <c r="A136" s="2" t="n">
        <v>135</v>
      </c>
      <c r="B136" s="2" t="s">
        <v>319</v>
      </c>
      <c r="C136" s="3" t="s">
        <v>320</v>
      </c>
      <c r="D136" s="2" t="s">
        <v>327</v>
      </c>
      <c r="E136" s="2" t="s">
        <v>21</v>
      </c>
      <c r="F136" s="2" t="s">
        <v>22</v>
      </c>
      <c r="G136" s="2" t="n">
        <v>354</v>
      </c>
      <c r="H136" s="2" t="s">
        <v>22</v>
      </c>
      <c r="I136" s="2" t="s">
        <v>23</v>
      </c>
      <c r="J136" s="2" t="n">
        <v>2833</v>
      </c>
      <c r="K136" s="2" t="n">
        <v>14119</v>
      </c>
      <c r="L136" s="2" t="n">
        <v>36998</v>
      </c>
      <c r="M136" s="2" t="n">
        <v>40</v>
      </c>
      <c r="N136" s="2" t="n">
        <v>7</v>
      </c>
      <c r="O136" s="2" t="n">
        <v>8</v>
      </c>
      <c r="P136" s="2" t="n">
        <v>0</v>
      </c>
      <c r="Q136" s="2" t="n">
        <v>5</v>
      </c>
      <c r="R136" s="3" t="s">
        <v>328</v>
      </c>
    </row>
    <row r="137" customFormat="false" ht="46.25" hidden="false" customHeight="false" outlineLevel="0" collapsed="false">
      <c r="A137" s="2" t="n">
        <v>136</v>
      </c>
      <c r="B137" s="2" t="s">
        <v>319</v>
      </c>
      <c r="C137" s="3" t="s">
        <v>320</v>
      </c>
      <c r="D137" s="2" t="s">
        <v>329</v>
      </c>
      <c r="E137" s="2" t="s">
        <v>21</v>
      </c>
      <c r="F137" s="2" t="s">
        <v>22</v>
      </c>
      <c r="G137" s="2" t="n">
        <v>352</v>
      </c>
      <c r="H137" s="2" t="s">
        <v>22</v>
      </c>
      <c r="I137" s="2" t="s">
        <v>23</v>
      </c>
      <c r="J137" s="2" t="n">
        <v>1840</v>
      </c>
      <c r="K137" s="2" t="n">
        <v>9586</v>
      </c>
      <c r="L137" s="2" t="n">
        <v>34965</v>
      </c>
      <c r="M137" s="2" t="n">
        <v>24</v>
      </c>
      <c r="N137" s="2" t="n">
        <v>4</v>
      </c>
      <c r="O137" s="2" t="n">
        <v>5</v>
      </c>
      <c r="P137" s="2" t="n">
        <v>0</v>
      </c>
      <c r="Q137" s="2" t="n">
        <v>5</v>
      </c>
      <c r="R137" s="3" t="s">
        <v>330</v>
      </c>
    </row>
    <row r="138" customFormat="false" ht="46.25" hidden="false" customHeight="false" outlineLevel="0" collapsed="false">
      <c r="A138" s="2" t="n">
        <v>137</v>
      </c>
      <c r="B138" s="2" t="s">
        <v>319</v>
      </c>
      <c r="C138" s="3" t="s">
        <v>320</v>
      </c>
      <c r="D138" s="2" t="s">
        <v>331</v>
      </c>
      <c r="E138" s="2" t="s">
        <v>21</v>
      </c>
      <c r="F138" s="2" t="s">
        <v>22</v>
      </c>
      <c r="G138" s="2" t="n">
        <v>352</v>
      </c>
      <c r="H138" s="2" t="s">
        <v>22</v>
      </c>
      <c r="I138" s="2" t="s">
        <v>23</v>
      </c>
      <c r="J138" s="2" t="n">
        <v>3788</v>
      </c>
      <c r="K138" s="2" t="n">
        <v>19002</v>
      </c>
      <c r="L138" s="2" t="n">
        <v>43353</v>
      </c>
      <c r="M138" s="2" t="n">
        <v>40</v>
      </c>
      <c r="N138" s="2" t="n">
        <v>8</v>
      </c>
      <c r="O138" s="2" t="n">
        <v>9</v>
      </c>
      <c r="P138" s="2" t="n">
        <v>0</v>
      </c>
      <c r="Q138" s="2" t="n">
        <v>3</v>
      </c>
      <c r="R138" s="3" t="s">
        <v>332</v>
      </c>
    </row>
    <row r="139" customFormat="false" ht="46.25" hidden="false" customHeight="false" outlineLevel="0" collapsed="false">
      <c r="A139" s="2" t="n">
        <v>138</v>
      </c>
      <c r="B139" s="2" t="s">
        <v>319</v>
      </c>
      <c r="C139" s="3" t="s">
        <v>320</v>
      </c>
      <c r="D139" s="2" t="s">
        <v>333</v>
      </c>
      <c r="E139" s="2" t="s">
        <v>21</v>
      </c>
      <c r="F139" s="2" t="s">
        <v>22</v>
      </c>
      <c r="G139" s="2" t="n">
        <v>386</v>
      </c>
      <c r="H139" s="2" t="s">
        <v>22</v>
      </c>
      <c r="I139" s="2" t="s">
        <v>23</v>
      </c>
      <c r="J139" s="2" t="n">
        <v>3376</v>
      </c>
      <c r="K139" s="2" t="n">
        <v>16956</v>
      </c>
      <c r="L139" s="2" t="n">
        <v>41151</v>
      </c>
      <c r="M139" s="2" t="n">
        <v>40</v>
      </c>
      <c r="N139" s="2" t="n">
        <v>7</v>
      </c>
      <c r="O139" s="2" t="n">
        <v>8</v>
      </c>
      <c r="P139" s="2" t="n">
        <v>0</v>
      </c>
      <c r="Q139" s="2" t="n">
        <v>3</v>
      </c>
      <c r="R139" s="3" t="s">
        <v>334</v>
      </c>
    </row>
    <row r="140" customFormat="false" ht="46.25" hidden="false" customHeight="false" outlineLevel="0" collapsed="false">
      <c r="A140" s="2" t="n">
        <v>139</v>
      </c>
      <c r="B140" s="2" t="s">
        <v>319</v>
      </c>
      <c r="C140" s="3" t="s">
        <v>320</v>
      </c>
      <c r="D140" s="2" t="s">
        <v>335</v>
      </c>
      <c r="E140" s="2" t="s">
        <v>64</v>
      </c>
      <c r="F140" s="2" t="s">
        <v>22</v>
      </c>
      <c r="G140" s="2" t="n">
        <v>366</v>
      </c>
      <c r="H140" s="2" t="s">
        <v>22</v>
      </c>
      <c r="I140" s="2" t="s">
        <v>23</v>
      </c>
      <c r="J140" s="2" t="n">
        <v>2593</v>
      </c>
      <c r="K140" s="2" t="n">
        <v>12901</v>
      </c>
      <c r="L140" s="2" t="n">
        <v>34964</v>
      </c>
      <c r="M140" s="2" t="n">
        <v>40</v>
      </c>
      <c r="N140" s="2" t="n">
        <v>5</v>
      </c>
      <c r="O140" s="2" t="n">
        <v>6</v>
      </c>
      <c r="P140" s="2" t="n">
        <v>1</v>
      </c>
      <c r="Q140" s="2" t="n">
        <v>6</v>
      </c>
      <c r="R140" s="3" t="s">
        <v>336</v>
      </c>
    </row>
    <row r="141" customFormat="false" ht="35.05" hidden="false" customHeight="false" outlineLevel="0" collapsed="false">
      <c r="A141" s="2" t="n">
        <v>140</v>
      </c>
      <c r="B141" s="2" t="s">
        <v>337</v>
      </c>
      <c r="C141" s="3" t="s">
        <v>338</v>
      </c>
      <c r="D141" s="2" t="s">
        <v>339</v>
      </c>
      <c r="E141" s="2" t="s">
        <v>21</v>
      </c>
      <c r="F141" s="2" t="s">
        <v>22</v>
      </c>
      <c r="G141" s="2" t="n">
        <v>253</v>
      </c>
      <c r="H141" s="2" t="s">
        <v>22</v>
      </c>
      <c r="I141" s="2" t="s">
        <v>23</v>
      </c>
      <c r="J141" s="2" t="n">
        <v>2448</v>
      </c>
      <c r="K141" s="2" t="n">
        <v>12235</v>
      </c>
      <c r="L141" s="2" t="n">
        <v>35059</v>
      </c>
      <c r="M141" s="2" t="n">
        <v>39</v>
      </c>
      <c r="N141" s="2" t="n">
        <v>6</v>
      </c>
      <c r="O141" s="2" t="n">
        <v>7</v>
      </c>
      <c r="P141" s="2" t="n">
        <v>1</v>
      </c>
      <c r="Q141" s="2" t="n">
        <v>5</v>
      </c>
      <c r="R141" s="3" t="s">
        <v>340</v>
      </c>
    </row>
    <row r="142" customFormat="false" ht="46.25" hidden="false" customHeight="false" outlineLevel="0" collapsed="false">
      <c r="A142" s="2" t="n">
        <v>141</v>
      </c>
      <c r="B142" s="2" t="s">
        <v>337</v>
      </c>
      <c r="C142" s="3" t="s">
        <v>338</v>
      </c>
      <c r="D142" s="2" t="s">
        <v>341</v>
      </c>
      <c r="E142" s="2" t="s">
        <v>21</v>
      </c>
      <c r="F142" s="2" t="s">
        <v>22</v>
      </c>
      <c r="G142" s="2" t="n">
        <v>363</v>
      </c>
      <c r="H142" s="2" t="s">
        <v>22</v>
      </c>
      <c r="I142" s="2" t="s">
        <v>23</v>
      </c>
      <c r="J142" s="2" t="n">
        <v>2812</v>
      </c>
      <c r="K142" s="2" t="n">
        <v>14282</v>
      </c>
      <c r="L142" s="2" t="n">
        <v>36817</v>
      </c>
      <c r="M142" s="2" t="n">
        <v>41</v>
      </c>
      <c r="N142" s="2" t="n">
        <v>6</v>
      </c>
      <c r="O142" s="2" t="n">
        <v>7</v>
      </c>
      <c r="P142" s="2" t="n">
        <v>0</v>
      </c>
      <c r="Q142" s="2" t="n">
        <v>6</v>
      </c>
      <c r="R142" s="3" t="s">
        <v>342</v>
      </c>
    </row>
    <row r="143" customFormat="false" ht="35.05" hidden="false" customHeight="false" outlineLevel="0" collapsed="false">
      <c r="A143" s="2" t="n">
        <v>142</v>
      </c>
      <c r="B143" s="2" t="s">
        <v>337</v>
      </c>
      <c r="C143" s="3" t="s">
        <v>338</v>
      </c>
      <c r="D143" s="2" t="s">
        <v>343</v>
      </c>
      <c r="E143" s="2" t="s">
        <v>21</v>
      </c>
      <c r="F143" s="2" t="s">
        <v>22</v>
      </c>
      <c r="G143" s="2" t="n">
        <v>278</v>
      </c>
      <c r="H143" s="2" t="s">
        <v>22</v>
      </c>
      <c r="I143" s="2" t="s">
        <v>22</v>
      </c>
      <c r="J143" s="2" t="n">
        <v>2494</v>
      </c>
      <c r="K143" s="2" t="n">
        <v>12493</v>
      </c>
      <c r="L143" s="2" t="n">
        <v>36380</v>
      </c>
      <c r="M143" s="2" t="n">
        <v>39</v>
      </c>
      <c r="N143" s="2" t="n">
        <v>6</v>
      </c>
      <c r="O143" s="2" t="n">
        <v>7</v>
      </c>
      <c r="P143" s="2" t="n">
        <v>0</v>
      </c>
      <c r="Q143" s="2" t="n">
        <v>5</v>
      </c>
      <c r="R143" s="3" t="s">
        <v>344</v>
      </c>
    </row>
    <row r="144" customFormat="false" ht="35.05" hidden="false" customHeight="false" outlineLevel="0" collapsed="false">
      <c r="A144" s="2" t="n">
        <v>143</v>
      </c>
      <c r="B144" s="2" t="s">
        <v>337</v>
      </c>
      <c r="C144" s="3" t="s">
        <v>338</v>
      </c>
      <c r="D144" s="2" t="s">
        <v>345</v>
      </c>
      <c r="E144" s="2" t="s">
        <v>21</v>
      </c>
      <c r="F144" s="2" t="s">
        <v>22</v>
      </c>
      <c r="G144" s="2" t="n">
        <v>301</v>
      </c>
      <c r="H144" s="2" t="s">
        <v>22</v>
      </c>
      <c r="I144" s="2" t="s">
        <v>23</v>
      </c>
      <c r="J144" s="2" t="n">
        <v>2883</v>
      </c>
      <c r="K144" s="2" t="n">
        <v>14302</v>
      </c>
      <c r="L144" s="2" t="n">
        <v>38106</v>
      </c>
      <c r="M144" s="2" t="n">
        <v>39</v>
      </c>
      <c r="N144" s="2" t="n">
        <v>8</v>
      </c>
      <c r="O144" s="2" t="n">
        <v>9</v>
      </c>
      <c r="P144" s="2" t="n">
        <v>1</v>
      </c>
      <c r="Q144" s="2" t="n">
        <v>5</v>
      </c>
      <c r="R144" s="3" t="s">
        <v>346</v>
      </c>
    </row>
    <row r="145" customFormat="false" ht="46.25" hidden="false" customHeight="false" outlineLevel="0" collapsed="false">
      <c r="A145" s="2" t="n">
        <v>144</v>
      </c>
      <c r="B145" s="2" t="s">
        <v>337</v>
      </c>
      <c r="C145" s="3" t="s">
        <v>338</v>
      </c>
      <c r="D145" s="2" t="s">
        <v>347</v>
      </c>
      <c r="E145" s="2" t="s">
        <v>21</v>
      </c>
      <c r="F145" s="2" t="s">
        <v>22</v>
      </c>
      <c r="G145" s="2" t="n">
        <v>334</v>
      </c>
      <c r="H145" s="2" t="s">
        <v>22</v>
      </c>
      <c r="I145" s="2" t="s">
        <v>23</v>
      </c>
      <c r="J145" s="2" t="n">
        <v>2512</v>
      </c>
      <c r="K145" s="2" t="n">
        <v>12553</v>
      </c>
      <c r="L145" s="2" t="n">
        <v>36138</v>
      </c>
      <c r="M145" s="2" t="n">
        <v>39</v>
      </c>
      <c r="N145" s="2" t="n">
        <v>6</v>
      </c>
      <c r="O145" s="2" t="n">
        <v>7</v>
      </c>
      <c r="P145" s="2" t="n">
        <v>0</v>
      </c>
      <c r="Q145" s="2" t="n">
        <v>5</v>
      </c>
      <c r="R145" s="3" t="s">
        <v>348</v>
      </c>
    </row>
    <row r="146" customFormat="false" ht="35.05" hidden="false" customHeight="false" outlineLevel="0" collapsed="false">
      <c r="A146" s="2" t="n">
        <v>145</v>
      </c>
      <c r="B146" s="2" t="s">
        <v>337</v>
      </c>
      <c r="C146" s="3" t="s">
        <v>338</v>
      </c>
      <c r="D146" s="2" t="s">
        <v>349</v>
      </c>
      <c r="E146" s="2" t="s">
        <v>21</v>
      </c>
      <c r="F146" s="2" t="s">
        <v>22</v>
      </c>
      <c r="G146" s="2" t="n">
        <v>266</v>
      </c>
      <c r="H146" s="2" t="s">
        <v>22</v>
      </c>
      <c r="I146" s="2" t="s">
        <v>23</v>
      </c>
      <c r="J146" s="2" t="n">
        <v>2569</v>
      </c>
      <c r="K146" s="2" t="n">
        <v>12932</v>
      </c>
      <c r="L146" s="2" t="n">
        <v>36528</v>
      </c>
      <c r="M146" s="2" t="n">
        <v>39</v>
      </c>
      <c r="N146" s="2" t="n">
        <v>7</v>
      </c>
      <c r="O146" s="2" t="n">
        <v>8</v>
      </c>
      <c r="P146" s="2" t="n">
        <v>0</v>
      </c>
      <c r="Q146" s="2" t="n">
        <v>7</v>
      </c>
      <c r="R146" s="3" t="s">
        <v>350</v>
      </c>
    </row>
    <row r="147" customFormat="false" ht="35.05" hidden="false" customHeight="false" outlineLevel="0" collapsed="false">
      <c r="A147" s="2" t="n">
        <v>146</v>
      </c>
      <c r="B147" s="2" t="s">
        <v>337</v>
      </c>
      <c r="C147" s="3" t="s">
        <v>338</v>
      </c>
      <c r="D147" s="2" t="s">
        <v>351</v>
      </c>
      <c r="E147" s="2" t="s">
        <v>21</v>
      </c>
      <c r="F147" s="2" t="s">
        <v>22</v>
      </c>
      <c r="G147" s="2" t="n">
        <v>286</v>
      </c>
      <c r="H147" s="2" t="s">
        <v>22</v>
      </c>
      <c r="I147" s="2" t="s">
        <v>23</v>
      </c>
      <c r="J147" s="2" t="n">
        <v>2489</v>
      </c>
      <c r="K147" s="2" t="n">
        <v>12512</v>
      </c>
      <c r="L147" s="2" t="n">
        <v>35360</v>
      </c>
      <c r="M147" s="2" t="n">
        <v>39</v>
      </c>
      <c r="N147" s="2" t="n">
        <v>6</v>
      </c>
      <c r="O147" s="2" t="n">
        <v>7</v>
      </c>
      <c r="P147" s="2" t="n">
        <v>0</v>
      </c>
      <c r="Q147" s="2" t="n">
        <v>3</v>
      </c>
      <c r="R147" s="3" t="s">
        <v>352</v>
      </c>
    </row>
    <row r="148" customFormat="false" ht="35.05" hidden="false" customHeight="false" outlineLevel="0" collapsed="false">
      <c r="A148" s="2" t="n">
        <v>147</v>
      </c>
      <c r="B148" s="2" t="s">
        <v>337</v>
      </c>
      <c r="C148" s="3" t="s">
        <v>338</v>
      </c>
      <c r="D148" s="2" t="s">
        <v>353</v>
      </c>
      <c r="E148" s="2" t="s">
        <v>21</v>
      </c>
      <c r="F148" s="2" t="s">
        <v>22</v>
      </c>
      <c r="G148" s="2" t="n">
        <v>219</v>
      </c>
      <c r="H148" s="2" t="s">
        <v>22</v>
      </c>
      <c r="I148" s="2" t="s">
        <v>22</v>
      </c>
      <c r="J148" s="2" t="n">
        <v>2123</v>
      </c>
      <c r="K148" s="2" t="n">
        <v>10756</v>
      </c>
      <c r="L148" s="2" t="n">
        <v>33416</v>
      </c>
      <c r="M148" s="2" t="n">
        <v>39</v>
      </c>
      <c r="N148" s="2" t="n">
        <v>5</v>
      </c>
      <c r="O148" s="2" t="n">
        <v>6</v>
      </c>
      <c r="P148" s="2" t="n">
        <v>0</v>
      </c>
      <c r="Q148" s="2" t="n">
        <v>5</v>
      </c>
      <c r="R148" s="3" t="s">
        <v>354</v>
      </c>
    </row>
    <row r="149" customFormat="false" ht="35.05" hidden="false" customHeight="false" outlineLevel="0" collapsed="false">
      <c r="A149" s="2" t="n">
        <v>148</v>
      </c>
      <c r="B149" s="2" t="s">
        <v>337</v>
      </c>
      <c r="C149" s="3" t="s">
        <v>338</v>
      </c>
      <c r="D149" s="2" t="s">
        <v>355</v>
      </c>
      <c r="E149" s="2" t="s">
        <v>64</v>
      </c>
      <c r="F149" s="2" t="s">
        <v>22</v>
      </c>
      <c r="G149" s="2" t="n">
        <v>219</v>
      </c>
      <c r="H149" s="2" t="s">
        <v>22</v>
      </c>
      <c r="I149" s="2" t="s">
        <v>22</v>
      </c>
      <c r="J149" s="2" t="n">
        <v>2215</v>
      </c>
      <c r="K149" s="2" t="n">
        <v>11226</v>
      </c>
      <c r="L149" s="2" t="n">
        <v>33085</v>
      </c>
      <c r="M149" s="2" t="n">
        <v>39</v>
      </c>
      <c r="N149" s="2" t="n">
        <v>5</v>
      </c>
      <c r="O149" s="2" t="n">
        <v>6</v>
      </c>
      <c r="P149" s="2" t="n">
        <v>0</v>
      </c>
      <c r="Q149" s="2" t="n">
        <v>5</v>
      </c>
      <c r="R149" s="3" t="s">
        <v>356</v>
      </c>
    </row>
    <row r="150" customFormat="false" ht="35.05" hidden="false" customHeight="false" outlineLevel="0" collapsed="false">
      <c r="A150" s="2" t="n">
        <v>149</v>
      </c>
      <c r="B150" s="2" t="s">
        <v>337</v>
      </c>
      <c r="C150" s="3" t="s">
        <v>338</v>
      </c>
      <c r="D150" s="2" t="s">
        <v>357</v>
      </c>
      <c r="E150" s="2" t="s">
        <v>64</v>
      </c>
      <c r="F150" s="2" t="s">
        <v>22</v>
      </c>
      <c r="G150" s="2" t="n">
        <v>298</v>
      </c>
      <c r="H150" s="2" t="s">
        <v>22</v>
      </c>
      <c r="I150" s="2" t="s">
        <v>23</v>
      </c>
      <c r="J150" s="2" t="n">
        <v>1738</v>
      </c>
      <c r="K150" s="2" t="n">
        <v>8936</v>
      </c>
      <c r="L150" s="2" t="n">
        <v>30703</v>
      </c>
      <c r="M150" s="2" t="n">
        <v>22</v>
      </c>
      <c r="N150" s="2" t="n">
        <v>4</v>
      </c>
      <c r="O150" s="2" t="n">
        <v>5</v>
      </c>
      <c r="P150" s="2" t="n">
        <v>0</v>
      </c>
      <c r="Q150" s="2" t="n">
        <v>6</v>
      </c>
      <c r="R150" s="3" t="s">
        <v>358</v>
      </c>
    </row>
    <row r="151" customFormat="false" ht="35.05" hidden="false" customHeight="false" outlineLevel="0" collapsed="false">
      <c r="A151" s="2" t="n">
        <v>150</v>
      </c>
      <c r="B151" s="2" t="s">
        <v>337</v>
      </c>
      <c r="C151" s="3" t="s">
        <v>338</v>
      </c>
      <c r="D151" s="2" t="s">
        <v>359</v>
      </c>
      <c r="E151" s="2" t="s">
        <v>21</v>
      </c>
      <c r="F151" s="2" t="s">
        <v>22</v>
      </c>
      <c r="G151" s="2" t="n">
        <v>230</v>
      </c>
      <c r="H151" s="2" t="s">
        <v>22</v>
      </c>
      <c r="I151" s="2" t="s">
        <v>22</v>
      </c>
      <c r="J151" s="2" t="n">
        <v>2225</v>
      </c>
      <c r="K151" s="2" t="n">
        <v>11279</v>
      </c>
      <c r="L151" s="2" t="n">
        <v>33813</v>
      </c>
      <c r="M151" s="2" t="n">
        <v>41</v>
      </c>
      <c r="N151" s="2" t="n">
        <v>4</v>
      </c>
      <c r="O151" s="2" t="n">
        <v>5</v>
      </c>
      <c r="P151" s="2" t="n">
        <v>1</v>
      </c>
      <c r="Q151" s="2" t="n">
        <v>5</v>
      </c>
      <c r="R151" s="3" t="s">
        <v>360</v>
      </c>
    </row>
    <row r="152" customFormat="false" ht="35.05" hidden="false" customHeight="false" outlineLevel="0" collapsed="false">
      <c r="A152" s="2" t="n">
        <v>151</v>
      </c>
      <c r="B152" s="2" t="s">
        <v>361</v>
      </c>
      <c r="C152" s="3" t="s">
        <v>362</v>
      </c>
      <c r="D152" s="2" t="s">
        <v>363</v>
      </c>
      <c r="E152" s="2" t="s">
        <v>21</v>
      </c>
      <c r="F152" s="2" t="s">
        <v>22</v>
      </c>
      <c r="G152" s="2" t="n">
        <v>305</v>
      </c>
      <c r="H152" s="2" t="s">
        <v>22</v>
      </c>
      <c r="I152" s="2" t="s">
        <v>23</v>
      </c>
      <c r="J152" s="2" t="n">
        <v>2868</v>
      </c>
      <c r="K152" s="2" t="n">
        <v>14064</v>
      </c>
      <c r="L152" s="2" t="n">
        <v>40882</v>
      </c>
      <c r="M152" s="2" t="n">
        <v>43</v>
      </c>
      <c r="N152" s="2" t="n">
        <v>7</v>
      </c>
      <c r="O152" s="2" t="n">
        <v>8</v>
      </c>
      <c r="P152" s="2" t="n">
        <v>0</v>
      </c>
      <c r="Q152" s="2" t="n">
        <v>3</v>
      </c>
      <c r="R152" s="3" t="s">
        <v>364</v>
      </c>
    </row>
    <row r="153" customFormat="false" ht="35.05" hidden="false" customHeight="false" outlineLevel="0" collapsed="false">
      <c r="A153" s="2" t="n">
        <v>152</v>
      </c>
      <c r="B153" s="2" t="s">
        <v>361</v>
      </c>
      <c r="C153" s="3" t="s">
        <v>362</v>
      </c>
      <c r="D153" s="2" t="s">
        <v>365</v>
      </c>
      <c r="E153" s="2" t="s">
        <v>21</v>
      </c>
      <c r="F153" s="2" t="s">
        <v>22</v>
      </c>
      <c r="G153" s="2" t="n">
        <v>236</v>
      </c>
      <c r="H153" s="2" t="s">
        <v>22</v>
      </c>
      <c r="I153" s="2" t="s">
        <v>23</v>
      </c>
      <c r="J153" s="2" t="n">
        <v>2651</v>
      </c>
      <c r="K153" s="2" t="n">
        <v>12991</v>
      </c>
      <c r="L153" s="2" t="n">
        <v>39720</v>
      </c>
      <c r="M153" s="2" t="n">
        <v>42</v>
      </c>
      <c r="N153" s="2" t="n">
        <v>6</v>
      </c>
      <c r="O153" s="2" t="n">
        <v>7</v>
      </c>
      <c r="P153" s="2" t="n">
        <v>0</v>
      </c>
      <c r="Q153" s="2" t="n">
        <v>3</v>
      </c>
      <c r="R153" s="3" t="s">
        <v>366</v>
      </c>
    </row>
    <row r="154" customFormat="false" ht="35.05" hidden="false" customHeight="false" outlineLevel="0" collapsed="false">
      <c r="A154" s="2" t="n">
        <v>153</v>
      </c>
      <c r="B154" s="2" t="s">
        <v>361</v>
      </c>
      <c r="C154" s="3" t="s">
        <v>362</v>
      </c>
      <c r="D154" s="2" t="s">
        <v>367</v>
      </c>
      <c r="E154" s="2" t="s">
        <v>64</v>
      </c>
      <c r="F154" s="2" t="s">
        <v>22</v>
      </c>
      <c r="G154" s="2" t="n">
        <v>303</v>
      </c>
      <c r="H154" s="2" t="s">
        <v>22</v>
      </c>
      <c r="I154" s="2" t="s">
        <v>23</v>
      </c>
      <c r="J154" s="2" t="n">
        <v>2815</v>
      </c>
      <c r="K154" s="2" t="n">
        <v>14057</v>
      </c>
      <c r="L154" s="2" t="n">
        <v>36040</v>
      </c>
      <c r="M154" s="2" t="n">
        <v>41</v>
      </c>
      <c r="N154" s="2" t="n">
        <v>7</v>
      </c>
      <c r="O154" s="2" t="n">
        <v>8</v>
      </c>
      <c r="P154" s="2" t="n">
        <v>0</v>
      </c>
      <c r="Q154" s="2" t="n">
        <v>19</v>
      </c>
      <c r="R154" s="3" t="s">
        <v>368</v>
      </c>
    </row>
    <row r="155" customFormat="false" ht="46.25" hidden="false" customHeight="false" outlineLevel="0" collapsed="false">
      <c r="A155" s="2" t="n">
        <v>154</v>
      </c>
      <c r="B155" s="2" t="s">
        <v>361</v>
      </c>
      <c r="C155" s="3" t="s">
        <v>362</v>
      </c>
      <c r="D155" s="2" t="s">
        <v>369</v>
      </c>
      <c r="E155" s="2" t="s">
        <v>21</v>
      </c>
      <c r="F155" s="2" t="s">
        <v>23</v>
      </c>
      <c r="G155" s="2" t="n">
        <v>356</v>
      </c>
      <c r="H155" s="2" t="s">
        <v>22</v>
      </c>
      <c r="I155" s="2" t="s">
        <v>23</v>
      </c>
      <c r="J155" s="2" t="n">
        <v>3266</v>
      </c>
      <c r="K155" s="2" t="n">
        <v>16068</v>
      </c>
      <c r="L155" s="2" t="n">
        <v>41694</v>
      </c>
      <c r="M155" s="2" t="n">
        <v>43</v>
      </c>
      <c r="N155" s="2" t="n">
        <v>7</v>
      </c>
      <c r="O155" s="2" t="n">
        <v>8</v>
      </c>
      <c r="P155" s="2" t="n">
        <v>1</v>
      </c>
      <c r="Q155" s="2" t="n">
        <v>6</v>
      </c>
      <c r="R155" s="3" t="s">
        <v>370</v>
      </c>
    </row>
    <row r="156" customFormat="false" ht="46.25" hidden="false" customHeight="false" outlineLevel="0" collapsed="false">
      <c r="A156" s="2" t="n">
        <v>155</v>
      </c>
      <c r="B156" s="2" t="s">
        <v>361</v>
      </c>
      <c r="C156" s="3" t="s">
        <v>362</v>
      </c>
      <c r="D156" s="2" t="s">
        <v>371</v>
      </c>
      <c r="E156" s="2" t="s">
        <v>21</v>
      </c>
      <c r="F156" s="2" t="s">
        <v>22</v>
      </c>
      <c r="G156" s="2" t="n">
        <v>322</v>
      </c>
      <c r="H156" s="2" t="s">
        <v>22</v>
      </c>
      <c r="I156" s="2" t="s">
        <v>23</v>
      </c>
      <c r="J156" s="2" t="n">
        <v>2617</v>
      </c>
      <c r="K156" s="2" t="n">
        <v>12894</v>
      </c>
      <c r="L156" s="2" t="n">
        <v>36684</v>
      </c>
      <c r="M156" s="2" t="n">
        <v>40</v>
      </c>
      <c r="N156" s="2" t="n">
        <v>6</v>
      </c>
      <c r="O156" s="2" t="n">
        <v>7</v>
      </c>
      <c r="P156" s="2" t="n">
        <v>0</v>
      </c>
      <c r="Q156" s="2" t="n">
        <v>3</v>
      </c>
      <c r="R156" s="3" t="s">
        <v>372</v>
      </c>
    </row>
    <row r="157" customFormat="false" ht="35.05" hidden="false" customHeight="false" outlineLevel="0" collapsed="false">
      <c r="A157" s="2" t="n">
        <v>156</v>
      </c>
      <c r="B157" s="2" t="s">
        <v>361</v>
      </c>
      <c r="C157" s="3" t="s">
        <v>362</v>
      </c>
      <c r="D157" s="2" t="s">
        <v>373</v>
      </c>
      <c r="E157" s="2" t="s">
        <v>64</v>
      </c>
      <c r="F157" s="2" t="s">
        <v>22</v>
      </c>
      <c r="G157" s="2" t="n">
        <v>267</v>
      </c>
      <c r="H157" s="2" t="s">
        <v>22</v>
      </c>
      <c r="I157" s="2" t="s">
        <v>23</v>
      </c>
      <c r="J157" s="2" t="n">
        <v>2662</v>
      </c>
      <c r="K157" s="2" t="n">
        <v>13170</v>
      </c>
      <c r="L157" s="2" t="n">
        <v>35204</v>
      </c>
      <c r="M157" s="2" t="n">
        <v>39</v>
      </c>
      <c r="N157" s="2" t="n">
        <v>7</v>
      </c>
      <c r="O157" s="2" t="n">
        <v>8</v>
      </c>
      <c r="P157" s="2" t="n">
        <v>1</v>
      </c>
      <c r="Q157" s="2" t="n">
        <v>4</v>
      </c>
      <c r="R157" s="3" t="s">
        <v>374</v>
      </c>
    </row>
    <row r="158" customFormat="false" ht="35.05" hidden="false" customHeight="false" outlineLevel="0" collapsed="false">
      <c r="A158" s="2" t="n">
        <v>157</v>
      </c>
      <c r="B158" s="2" t="s">
        <v>361</v>
      </c>
      <c r="C158" s="3" t="s">
        <v>362</v>
      </c>
      <c r="D158" s="2" t="s">
        <v>375</v>
      </c>
      <c r="E158" s="2" t="s">
        <v>21</v>
      </c>
      <c r="F158" s="2" t="s">
        <v>22</v>
      </c>
      <c r="G158" s="2" t="n">
        <v>256</v>
      </c>
      <c r="H158" s="2" t="s">
        <v>22</v>
      </c>
      <c r="I158" s="2" t="s">
        <v>23</v>
      </c>
      <c r="J158" s="2" t="n">
        <v>2489</v>
      </c>
      <c r="K158" s="2" t="n">
        <v>12278</v>
      </c>
      <c r="L158" s="2" t="n">
        <v>35133</v>
      </c>
      <c r="M158" s="2" t="n">
        <v>40</v>
      </c>
      <c r="N158" s="2" t="n">
        <v>6</v>
      </c>
      <c r="O158" s="2" t="n">
        <v>7</v>
      </c>
      <c r="P158" s="2" t="n">
        <v>0</v>
      </c>
      <c r="Q158" s="2" t="n">
        <v>4</v>
      </c>
      <c r="R158" s="3" t="s">
        <v>376</v>
      </c>
    </row>
    <row r="159" customFormat="false" ht="35.05" hidden="false" customHeight="false" outlineLevel="0" collapsed="false">
      <c r="A159" s="2" t="n">
        <v>158</v>
      </c>
      <c r="B159" s="2" t="s">
        <v>361</v>
      </c>
      <c r="C159" s="3" t="s">
        <v>362</v>
      </c>
      <c r="D159" s="2" t="s">
        <v>377</v>
      </c>
      <c r="E159" s="2" t="s">
        <v>64</v>
      </c>
      <c r="F159" s="2" t="s">
        <v>22</v>
      </c>
      <c r="G159" s="2" t="n">
        <v>277</v>
      </c>
      <c r="H159" s="2" t="s">
        <v>22</v>
      </c>
      <c r="I159" s="2" t="s">
        <v>23</v>
      </c>
      <c r="J159" s="2" t="n">
        <v>3023</v>
      </c>
      <c r="K159" s="2" t="n">
        <v>14463</v>
      </c>
      <c r="L159" s="2" t="n">
        <v>36565</v>
      </c>
      <c r="M159" s="2" t="n">
        <v>41</v>
      </c>
      <c r="N159" s="2" t="n">
        <v>8</v>
      </c>
      <c r="O159" s="2" t="n">
        <v>9</v>
      </c>
      <c r="P159" s="2" t="n">
        <v>1</v>
      </c>
      <c r="Q159" s="2" t="n">
        <v>3</v>
      </c>
      <c r="R159" s="3" t="s">
        <v>378</v>
      </c>
    </row>
    <row r="160" customFormat="false" ht="46.25" hidden="false" customHeight="false" outlineLevel="0" collapsed="false">
      <c r="A160" s="2" t="n">
        <v>159</v>
      </c>
      <c r="B160" s="2" t="s">
        <v>361</v>
      </c>
      <c r="C160" s="3" t="s">
        <v>362</v>
      </c>
      <c r="D160" s="2" t="s">
        <v>379</v>
      </c>
      <c r="E160" s="2" t="s">
        <v>21</v>
      </c>
      <c r="F160" s="2" t="s">
        <v>22</v>
      </c>
      <c r="G160" s="2" t="n">
        <v>353</v>
      </c>
      <c r="H160" s="2" t="s">
        <v>22</v>
      </c>
      <c r="I160" s="2" t="s">
        <v>23</v>
      </c>
      <c r="J160" s="2" t="n">
        <v>3192</v>
      </c>
      <c r="K160" s="2" t="n">
        <v>15868</v>
      </c>
      <c r="L160" s="2" t="n">
        <v>38619</v>
      </c>
      <c r="M160" s="2" t="n">
        <v>41</v>
      </c>
      <c r="N160" s="2" t="n">
        <v>7</v>
      </c>
      <c r="O160" s="2" t="n">
        <v>8</v>
      </c>
      <c r="P160" s="2" t="n">
        <v>0</v>
      </c>
      <c r="Q160" s="2" t="n">
        <v>5</v>
      </c>
      <c r="R160" s="3" t="s">
        <v>380</v>
      </c>
    </row>
    <row r="161" customFormat="false" ht="23.85" hidden="false" customHeight="false" outlineLevel="0" collapsed="false">
      <c r="A161" s="2" t="n">
        <v>160</v>
      </c>
      <c r="B161" s="2" t="s">
        <v>361</v>
      </c>
      <c r="C161" s="3" t="s">
        <v>362</v>
      </c>
      <c r="D161" s="2" t="s">
        <v>381</v>
      </c>
      <c r="E161" s="2" t="s">
        <v>21</v>
      </c>
      <c r="F161" s="2" t="s">
        <v>23</v>
      </c>
      <c r="G161" s="2" t="n">
        <v>189</v>
      </c>
      <c r="H161" s="2" t="s">
        <v>22</v>
      </c>
      <c r="I161" s="2" t="s">
        <v>22</v>
      </c>
      <c r="J161" s="2" t="n">
        <v>3181</v>
      </c>
      <c r="K161" s="2" t="n">
        <v>15597</v>
      </c>
      <c r="L161" s="2" t="n">
        <v>39596</v>
      </c>
      <c r="M161" s="2" t="n">
        <v>40</v>
      </c>
      <c r="N161" s="2" t="n">
        <v>7</v>
      </c>
      <c r="O161" s="2" t="n">
        <v>8</v>
      </c>
      <c r="P161" s="2" t="n">
        <v>0</v>
      </c>
      <c r="Q161" s="2" t="n">
        <v>4</v>
      </c>
      <c r="R161" s="3" t="s">
        <v>382</v>
      </c>
    </row>
    <row r="162" customFormat="false" ht="35.05" hidden="false" customHeight="false" outlineLevel="0" collapsed="false">
      <c r="A162" s="2" t="n">
        <v>161</v>
      </c>
      <c r="B162" s="2" t="s">
        <v>361</v>
      </c>
      <c r="C162" s="3" t="s">
        <v>362</v>
      </c>
      <c r="D162" s="2" t="s">
        <v>383</v>
      </c>
      <c r="E162" s="2" t="s">
        <v>21</v>
      </c>
      <c r="F162" s="2" t="s">
        <v>22</v>
      </c>
      <c r="G162" s="2" t="n">
        <v>264</v>
      </c>
      <c r="H162" s="2" t="s">
        <v>22</v>
      </c>
      <c r="I162" s="2" t="s">
        <v>23</v>
      </c>
      <c r="J162" s="2" t="n">
        <v>3249</v>
      </c>
      <c r="K162" s="2" t="n">
        <v>16095</v>
      </c>
      <c r="L162" s="2" t="n">
        <v>39739</v>
      </c>
      <c r="M162" s="2" t="n">
        <v>41</v>
      </c>
      <c r="N162" s="2" t="n">
        <v>7</v>
      </c>
      <c r="O162" s="2" t="n">
        <v>8</v>
      </c>
      <c r="P162" s="2" t="n">
        <v>1</v>
      </c>
      <c r="Q162" s="2" t="n">
        <v>4</v>
      </c>
      <c r="R162" s="3" t="s">
        <v>384</v>
      </c>
    </row>
    <row r="163" customFormat="false" ht="35.05" hidden="false" customHeight="false" outlineLevel="0" collapsed="false">
      <c r="A163" s="2" t="n">
        <v>162</v>
      </c>
      <c r="B163" s="2" t="s">
        <v>361</v>
      </c>
      <c r="C163" s="3" t="s">
        <v>362</v>
      </c>
      <c r="D163" s="2" t="s">
        <v>385</v>
      </c>
      <c r="E163" s="2" t="s">
        <v>21</v>
      </c>
      <c r="F163" s="2" t="s">
        <v>22</v>
      </c>
      <c r="G163" s="2" t="n">
        <v>218</v>
      </c>
      <c r="H163" s="2" t="s">
        <v>22</v>
      </c>
      <c r="I163" s="2" t="s">
        <v>23</v>
      </c>
      <c r="J163" s="2" t="n">
        <v>2714</v>
      </c>
      <c r="K163" s="2" t="n">
        <v>13565</v>
      </c>
      <c r="L163" s="2" t="n">
        <v>37066</v>
      </c>
      <c r="M163" s="2" t="n">
        <v>40</v>
      </c>
      <c r="N163" s="2" t="n">
        <v>6</v>
      </c>
      <c r="O163" s="2" t="n">
        <v>7</v>
      </c>
      <c r="P163" s="2" t="n">
        <v>1</v>
      </c>
      <c r="Q163" s="2" t="n">
        <v>3</v>
      </c>
      <c r="R163" s="3" t="s">
        <v>386</v>
      </c>
    </row>
    <row r="164" customFormat="false" ht="35.05" hidden="false" customHeight="false" outlineLevel="0" collapsed="false">
      <c r="A164" s="2" t="n">
        <v>163</v>
      </c>
      <c r="B164" s="2" t="s">
        <v>361</v>
      </c>
      <c r="C164" s="3" t="s">
        <v>362</v>
      </c>
      <c r="D164" s="2" t="s">
        <v>387</v>
      </c>
      <c r="E164" s="2" t="s">
        <v>21</v>
      </c>
      <c r="F164" s="2" t="s">
        <v>22</v>
      </c>
      <c r="G164" s="2" t="n">
        <v>231</v>
      </c>
      <c r="H164" s="2" t="s">
        <v>22</v>
      </c>
      <c r="I164" s="2" t="s">
        <v>23</v>
      </c>
      <c r="J164" s="2" t="n">
        <v>2975</v>
      </c>
      <c r="K164" s="2" t="n">
        <v>14613</v>
      </c>
      <c r="L164" s="2" t="n">
        <v>38457</v>
      </c>
      <c r="M164" s="2" t="n">
        <v>40</v>
      </c>
      <c r="N164" s="2" t="n">
        <v>7</v>
      </c>
      <c r="O164" s="2" t="n">
        <v>8</v>
      </c>
      <c r="P164" s="2" t="n">
        <v>1</v>
      </c>
      <c r="Q164" s="2" t="n">
        <v>4</v>
      </c>
      <c r="R164" s="3" t="s">
        <v>388</v>
      </c>
    </row>
    <row r="165" customFormat="false" ht="46.25" hidden="false" customHeight="false" outlineLevel="0" collapsed="false">
      <c r="A165" s="2" t="n">
        <v>164</v>
      </c>
      <c r="B165" s="2" t="s">
        <v>361</v>
      </c>
      <c r="C165" s="3" t="s">
        <v>362</v>
      </c>
      <c r="D165" s="2" t="s">
        <v>389</v>
      </c>
      <c r="E165" s="2" t="s">
        <v>21</v>
      </c>
      <c r="F165" s="2" t="s">
        <v>22</v>
      </c>
      <c r="G165" s="2" t="n">
        <v>375</v>
      </c>
      <c r="H165" s="2" t="s">
        <v>22</v>
      </c>
      <c r="I165" s="2" t="s">
        <v>23</v>
      </c>
      <c r="J165" s="2" t="n">
        <v>3070</v>
      </c>
      <c r="K165" s="2" t="n">
        <v>15385</v>
      </c>
      <c r="L165" s="2" t="n">
        <v>39508</v>
      </c>
      <c r="M165" s="2" t="n">
        <v>40</v>
      </c>
      <c r="N165" s="2" t="n">
        <v>7</v>
      </c>
      <c r="O165" s="2" t="n">
        <v>8</v>
      </c>
      <c r="P165" s="2" t="n">
        <v>1</v>
      </c>
      <c r="Q165" s="2" t="n">
        <v>4</v>
      </c>
      <c r="R165" s="3" t="s">
        <v>390</v>
      </c>
    </row>
    <row r="166" customFormat="false" ht="46.25" hidden="false" customHeight="false" outlineLevel="0" collapsed="false">
      <c r="A166" s="2" t="n">
        <v>165</v>
      </c>
      <c r="B166" s="2" t="s">
        <v>361</v>
      </c>
      <c r="C166" s="3" t="s">
        <v>362</v>
      </c>
      <c r="D166" s="2" t="s">
        <v>391</v>
      </c>
      <c r="E166" s="2" t="s">
        <v>21</v>
      </c>
      <c r="F166" s="2" t="s">
        <v>22</v>
      </c>
      <c r="G166" s="2" t="n">
        <v>383</v>
      </c>
      <c r="H166" s="2" t="s">
        <v>22</v>
      </c>
      <c r="I166" s="2" t="s">
        <v>23</v>
      </c>
      <c r="J166" s="2" t="n">
        <v>2918</v>
      </c>
      <c r="K166" s="2" t="n">
        <v>14655</v>
      </c>
      <c r="L166" s="2" t="n">
        <v>38185</v>
      </c>
      <c r="M166" s="2" t="n">
        <v>40</v>
      </c>
      <c r="N166" s="2" t="n">
        <v>7</v>
      </c>
      <c r="O166" s="2" t="n">
        <v>8</v>
      </c>
      <c r="P166" s="2" t="n">
        <v>0</v>
      </c>
      <c r="Q166" s="2" t="n">
        <v>4</v>
      </c>
      <c r="R166" s="3" t="s">
        <v>392</v>
      </c>
    </row>
    <row r="167" customFormat="false" ht="35.05" hidden="false" customHeight="false" outlineLevel="0" collapsed="false">
      <c r="A167" s="2" t="n">
        <v>166</v>
      </c>
      <c r="B167" s="2" t="s">
        <v>361</v>
      </c>
      <c r="C167" s="3" t="s">
        <v>362</v>
      </c>
      <c r="D167" s="2" t="s">
        <v>393</v>
      </c>
      <c r="E167" s="2" t="s">
        <v>21</v>
      </c>
      <c r="F167" s="2" t="s">
        <v>22</v>
      </c>
      <c r="G167" s="2" t="n">
        <v>217</v>
      </c>
      <c r="H167" s="2" t="s">
        <v>22</v>
      </c>
      <c r="I167" s="2" t="s">
        <v>22</v>
      </c>
      <c r="J167" s="2" t="n">
        <v>3095</v>
      </c>
      <c r="K167" s="2" t="n">
        <v>15316</v>
      </c>
      <c r="L167" s="2" t="n">
        <v>39282</v>
      </c>
      <c r="M167" s="2" t="n">
        <v>40</v>
      </c>
      <c r="N167" s="2" t="n">
        <v>7</v>
      </c>
      <c r="O167" s="2" t="n">
        <v>8</v>
      </c>
      <c r="P167" s="2" t="n">
        <v>0</v>
      </c>
      <c r="Q167" s="2" t="n">
        <v>4</v>
      </c>
      <c r="R167" s="3" t="s">
        <v>394</v>
      </c>
    </row>
    <row r="168" customFormat="false" ht="46.25" hidden="false" customHeight="false" outlineLevel="0" collapsed="false">
      <c r="A168" s="2" t="n">
        <v>167</v>
      </c>
      <c r="B168" s="2" t="s">
        <v>361</v>
      </c>
      <c r="C168" s="3" t="s">
        <v>362</v>
      </c>
      <c r="D168" s="2" t="s">
        <v>395</v>
      </c>
      <c r="E168" s="2" t="s">
        <v>21</v>
      </c>
      <c r="F168" s="2" t="s">
        <v>22</v>
      </c>
      <c r="G168" s="2" t="n">
        <v>350</v>
      </c>
      <c r="H168" s="2" t="s">
        <v>22</v>
      </c>
      <c r="I168" s="2" t="s">
        <v>23</v>
      </c>
      <c r="J168" s="2" t="n">
        <v>2653</v>
      </c>
      <c r="K168" s="2" t="n">
        <v>13204</v>
      </c>
      <c r="L168" s="2" t="n">
        <v>35951</v>
      </c>
      <c r="M168" s="2" t="n">
        <v>40</v>
      </c>
      <c r="N168" s="2" t="n">
        <v>6</v>
      </c>
      <c r="O168" s="2" t="n">
        <v>7</v>
      </c>
      <c r="P168" s="2" t="n">
        <v>0</v>
      </c>
      <c r="Q168" s="2" t="n">
        <v>6</v>
      </c>
      <c r="R168" s="3" t="s">
        <v>396</v>
      </c>
    </row>
  </sheetData>
  <autoFilter ref="A1:R1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52"/>
    <col collapsed="false" customWidth="true" hidden="false" outlineLevel="0" max="3" min="3" style="0" width="10"/>
    <col collapsed="false" customWidth="true" hidden="false" outlineLevel="0" max="4" min="4" style="0" width="16"/>
    <col collapsed="false" customWidth="true" hidden="false" outlineLevel="0" max="7" min="5" style="0" width="18"/>
    <col collapsed="false" customWidth="true" hidden="false" outlineLevel="0" max="8" min="8" style="0" width="16"/>
  </cols>
  <sheetData>
    <row r="1" customFormat="false" ht="48" hidden="false" customHeight="true" outlineLevel="0" collapsed="false">
      <c r="A1" s="1" t="s">
        <v>1</v>
      </c>
      <c r="B1" s="1" t="s">
        <v>2</v>
      </c>
      <c r="C1" s="1" t="s">
        <v>397</v>
      </c>
      <c r="D1" s="1" t="s">
        <v>398</v>
      </c>
      <c r="E1" s="1" t="s">
        <v>399</v>
      </c>
      <c r="F1" s="1" t="s">
        <v>400</v>
      </c>
      <c r="G1" s="1" t="s">
        <v>401</v>
      </c>
      <c r="H1" s="1" t="s">
        <v>402</v>
      </c>
    </row>
    <row r="2" customFormat="false" ht="15" hidden="false" customHeight="false" outlineLevel="0" collapsed="false">
      <c r="A2" s="4" t="s">
        <v>18</v>
      </c>
      <c r="B2" s="4" t="s">
        <v>19</v>
      </c>
      <c r="C2" s="4" t="n">
        <f aca="false">COUNTIF('Danh sách'!$B$2:$B$168,A2)</f>
        <v>4</v>
      </c>
      <c r="D2" s="5" t="n">
        <f aca="false">AVERAGEIFS('Danh sách'!$J$2:$J$168,'Danh sách'!$B$2:$B$168,A2)</f>
        <v>2403.25</v>
      </c>
      <c r="E2" s="5" t="n">
        <f aca="false">AVERAGEIFS('Danh sách'!$L$2:$L$168,'Danh sách'!$B$2:$B$168,A2)</f>
        <v>36260.75</v>
      </c>
      <c r="F2" s="4" t="n">
        <f aca="false">COUNTIFS('Danh sách'!$B$2:$B$168,A2,'Danh sách'!$H$2:$H$168,"Có")</f>
        <v>0</v>
      </c>
      <c r="G2" s="4" t="n">
        <f aca="false">COUNTIFS('Danh sách'!$B$2:$B$168,A2,'Danh sách'!$I$2:$I$168,"Không")</f>
        <v>0</v>
      </c>
      <c r="H2" s="4" t="n">
        <f aca="false">COUNTIFS('Danh sách'!$B$2:$B$168,A2,'Danh sách'!$F$2:$F$168,"Có")</f>
        <v>0</v>
      </c>
    </row>
    <row r="3" customFormat="false" ht="15" hidden="false" customHeight="false" outlineLevel="0" collapsed="false">
      <c r="A3" s="4" t="s">
        <v>31</v>
      </c>
      <c r="B3" s="4" t="s">
        <v>32</v>
      </c>
      <c r="C3" s="4" t="n">
        <f aca="false">COUNTIF('Danh sách'!$B$2:$B$168,A3)</f>
        <v>5</v>
      </c>
      <c r="D3" s="5" t="n">
        <f aca="false">AVERAGEIFS('Danh sách'!$J$2:$J$168,'Danh sách'!$B$2:$B$168,A3)</f>
        <v>2705</v>
      </c>
      <c r="E3" s="5" t="n">
        <f aca="false">AVERAGEIFS('Danh sách'!$L$2:$L$168,'Danh sách'!$B$2:$B$168,A3)</f>
        <v>37243.8</v>
      </c>
      <c r="F3" s="4" t="n">
        <f aca="false">COUNTIFS('Danh sách'!$B$2:$B$168,A3,'Danh sách'!$H$2:$H$168,"Có")</f>
        <v>0</v>
      </c>
      <c r="G3" s="4" t="n">
        <f aca="false">COUNTIFS('Danh sách'!$B$2:$B$168,A3,'Danh sách'!$I$2:$I$168,"Không")</f>
        <v>0</v>
      </c>
      <c r="H3" s="4" t="n">
        <f aca="false">COUNTIFS('Danh sách'!$B$2:$B$168,A3,'Danh sách'!$F$2:$F$168,"Có")</f>
        <v>0</v>
      </c>
    </row>
    <row r="4" customFormat="false" ht="15" hidden="false" customHeight="false" outlineLevel="0" collapsed="false">
      <c r="A4" s="4" t="s">
        <v>43</v>
      </c>
      <c r="B4" s="4" t="s">
        <v>44</v>
      </c>
      <c r="C4" s="4" t="n">
        <f aca="false">COUNTIF('Danh sách'!$B$2:$B$168,A4)</f>
        <v>10</v>
      </c>
      <c r="D4" s="5" t="n">
        <f aca="false">AVERAGEIFS('Danh sách'!$J$2:$J$168,'Danh sách'!$B$2:$B$168,A4)</f>
        <v>2953.4</v>
      </c>
      <c r="E4" s="5" t="n">
        <f aca="false">AVERAGEIFS('Danh sách'!$L$2:$L$168,'Danh sách'!$B$2:$B$168,A4)</f>
        <v>38851.3</v>
      </c>
      <c r="F4" s="4" t="n">
        <f aca="false">COUNTIFS('Danh sách'!$B$2:$B$168,A4,'Danh sách'!$H$2:$H$168,"Có")</f>
        <v>0</v>
      </c>
      <c r="G4" s="4" t="n">
        <f aca="false">COUNTIFS('Danh sách'!$B$2:$B$168,A4,'Danh sách'!$I$2:$I$168,"Không")</f>
        <v>0</v>
      </c>
      <c r="H4" s="4" t="n">
        <f aca="false">COUNTIFS('Danh sách'!$B$2:$B$168,A4,'Danh sách'!$F$2:$F$168,"Có")</f>
        <v>0</v>
      </c>
    </row>
    <row r="5" customFormat="false" ht="15" hidden="false" customHeight="false" outlineLevel="0" collapsed="false">
      <c r="A5" s="4" t="s">
        <v>66</v>
      </c>
      <c r="B5" s="4" t="s">
        <v>67</v>
      </c>
      <c r="C5" s="4" t="n">
        <f aca="false">COUNTIF('Danh sách'!$B$2:$B$168,A5)</f>
        <v>4</v>
      </c>
      <c r="D5" s="5" t="n">
        <f aca="false">AVERAGEIFS('Danh sách'!$J$2:$J$168,'Danh sách'!$B$2:$B$168,A5)</f>
        <v>3034</v>
      </c>
      <c r="E5" s="5" t="n">
        <f aca="false">AVERAGEIFS('Danh sách'!$L$2:$L$168,'Danh sách'!$B$2:$B$168,A5)</f>
        <v>40406.5</v>
      </c>
      <c r="F5" s="4" t="n">
        <f aca="false">COUNTIFS('Danh sách'!$B$2:$B$168,A5,'Danh sách'!$H$2:$H$168,"Có")</f>
        <v>0</v>
      </c>
      <c r="G5" s="4" t="n">
        <f aca="false">COUNTIFS('Danh sách'!$B$2:$B$168,A5,'Danh sách'!$I$2:$I$168,"Không")</f>
        <v>0</v>
      </c>
      <c r="H5" s="4" t="n">
        <f aca="false">COUNTIFS('Danh sách'!$B$2:$B$168,A5,'Danh sách'!$F$2:$F$168,"Có")</f>
        <v>0</v>
      </c>
    </row>
    <row r="6" customFormat="false" ht="15" hidden="false" customHeight="false" outlineLevel="0" collapsed="false">
      <c r="A6" s="4" t="s">
        <v>76</v>
      </c>
      <c r="B6" s="4" t="s">
        <v>77</v>
      </c>
      <c r="C6" s="4" t="n">
        <f aca="false">COUNTIF('Danh sách'!$B$2:$B$168,A6)</f>
        <v>9</v>
      </c>
      <c r="D6" s="5" t="n">
        <f aca="false">AVERAGEIFS('Danh sách'!$J$2:$J$168,'Danh sách'!$B$2:$B$168,A6)</f>
        <v>2593.66666666667</v>
      </c>
      <c r="E6" s="5" t="n">
        <f aca="false">AVERAGEIFS('Danh sách'!$L$2:$L$168,'Danh sách'!$B$2:$B$168,A6)</f>
        <v>35608.7777777778</v>
      </c>
      <c r="F6" s="4" t="n">
        <f aca="false">COUNTIFS('Danh sách'!$B$2:$B$168,A6,'Danh sách'!$H$2:$H$168,"Có")</f>
        <v>0</v>
      </c>
      <c r="G6" s="4" t="n">
        <f aca="false">COUNTIFS('Danh sách'!$B$2:$B$168,A6,'Danh sách'!$I$2:$I$168,"Không")</f>
        <v>0</v>
      </c>
      <c r="H6" s="4" t="n">
        <f aca="false">COUNTIFS('Danh sách'!$B$2:$B$168,A6,'Danh sách'!$F$2:$F$168,"Có")</f>
        <v>1</v>
      </c>
    </row>
    <row r="7" customFormat="false" ht="15" hidden="false" customHeight="false" outlineLevel="0" collapsed="false">
      <c r="A7" s="4" t="s">
        <v>97</v>
      </c>
      <c r="B7" s="4" t="s">
        <v>98</v>
      </c>
      <c r="C7" s="4" t="n">
        <f aca="false">COUNTIF('Danh sách'!$B$2:$B$168,A7)</f>
        <v>10</v>
      </c>
      <c r="D7" s="5" t="n">
        <f aca="false">AVERAGEIFS('Danh sách'!$J$2:$J$168,'Danh sách'!$B$2:$B$168,A7)</f>
        <v>2543.3</v>
      </c>
      <c r="E7" s="5" t="n">
        <f aca="false">AVERAGEIFS('Danh sách'!$L$2:$L$168,'Danh sách'!$B$2:$B$168,A7)</f>
        <v>36796.9</v>
      </c>
      <c r="F7" s="4" t="n">
        <f aca="false">COUNTIFS('Danh sách'!$B$2:$B$168,A7,'Danh sách'!$H$2:$H$168,"Có")</f>
        <v>0</v>
      </c>
      <c r="G7" s="4" t="n">
        <f aca="false">COUNTIFS('Danh sách'!$B$2:$B$168,A7,'Danh sách'!$I$2:$I$168,"Không")</f>
        <v>1</v>
      </c>
      <c r="H7" s="4" t="n">
        <f aca="false">COUNTIFS('Danh sách'!$B$2:$B$168,A7,'Danh sách'!$F$2:$F$168,"Có")</f>
        <v>0</v>
      </c>
    </row>
    <row r="8" customFormat="false" ht="15" hidden="false" customHeight="false" outlineLevel="0" collapsed="false">
      <c r="A8" s="4" t="s">
        <v>119</v>
      </c>
      <c r="B8" s="4" t="s">
        <v>120</v>
      </c>
      <c r="C8" s="4" t="n">
        <f aca="false">COUNTIF('Danh sách'!$B$2:$B$168,A8)</f>
        <v>17</v>
      </c>
      <c r="D8" s="5" t="n">
        <f aca="false">AVERAGEIFS('Danh sách'!$J$2:$J$168,'Danh sách'!$B$2:$B$168,A8)</f>
        <v>3030.52941176471</v>
      </c>
      <c r="E8" s="5" t="n">
        <f aca="false">AVERAGEIFS('Danh sách'!$L$2:$L$168,'Danh sách'!$B$2:$B$168,A8)</f>
        <v>38836.8823529412</v>
      </c>
      <c r="F8" s="4" t="n">
        <f aca="false">COUNTIFS('Danh sách'!$B$2:$B$168,A8,'Danh sách'!$H$2:$H$168,"Có")</f>
        <v>0</v>
      </c>
      <c r="G8" s="4" t="n">
        <f aca="false">COUNTIFS('Danh sách'!$B$2:$B$168,A8,'Danh sách'!$I$2:$I$168,"Không")</f>
        <v>0</v>
      </c>
      <c r="H8" s="4" t="n">
        <f aca="false">COUNTIFS('Danh sách'!$B$2:$B$168,A8,'Danh sách'!$F$2:$F$168,"Có")</f>
        <v>0</v>
      </c>
    </row>
    <row r="9" customFormat="false" ht="15" hidden="false" customHeight="false" outlineLevel="0" collapsed="false">
      <c r="A9" s="4" t="s">
        <v>155</v>
      </c>
      <c r="B9" s="4" t="s">
        <v>156</v>
      </c>
      <c r="C9" s="4" t="n">
        <f aca="false">COUNTIF('Danh sách'!$B$2:$B$168,A9)</f>
        <v>5</v>
      </c>
      <c r="D9" s="5" t="n">
        <f aca="false">AVERAGEIFS('Danh sách'!$J$2:$J$168,'Danh sách'!$B$2:$B$168,A9)</f>
        <v>2267.6</v>
      </c>
      <c r="E9" s="5" t="n">
        <f aca="false">AVERAGEIFS('Danh sách'!$L$2:$L$168,'Danh sách'!$B$2:$B$168,A9)</f>
        <v>34961.8</v>
      </c>
      <c r="F9" s="4" t="n">
        <f aca="false">COUNTIFS('Danh sách'!$B$2:$B$168,A9,'Danh sách'!$H$2:$H$168,"Có")</f>
        <v>0</v>
      </c>
      <c r="G9" s="4" t="n">
        <f aca="false">COUNTIFS('Danh sách'!$B$2:$B$168,A9,'Danh sách'!$I$2:$I$168,"Không")</f>
        <v>1</v>
      </c>
      <c r="H9" s="4" t="n">
        <f aca="false">COUNTIFS('Danh sách'!$B$2:$B$168,A9,'Danh sách'!$F$2:$F$168,"Có")</f>
        <v>0</v>
      </c>
    </row>
    <row r="10" customFormat="false" ht="15" hidden="false" customHeight="false" outlineLevel="0" collapsed="false">
      <c r="A10" s="4" t="s">
        <v>167</v>
      </c>
      <c r="B10" s="4" t="s">
        <v>168</v>
      </c>
      <c r="C10" s="4" t="n">
        <f aca="false">COUNTIF('Danh sách'!$B$2:$B$168,A10)</f>
        <v>5</v>
      </c>
      <c r="D10" s="5" t="n">
        <f aca="false">AVERAGEIFS('Danh sách'!$J$2:$J$168,'Danh sách'!$B$2:$B$168,A10)</f>
        <v>2241.2</v>
      </c>
      <c r="E10" s="5" t="n">
        <f aca="false">AVERAGEIFS('Danh sách'!$L$2:$L$168,'Danh sách'!$B$2:$B$168,A10)</f>
        <v>36114.4</v>
      </c>
      <c r="F10" s="4" t="n">
        <f aca="false">COUNTIFS('Danh sách'!$B$2:$B$168,A10,'Danh sách'!$H$2:$H$168,"Có")</f>
        <v>0</v>
      </c>
      <c r="G10" s="4" t="n">
        <f aca="false">COUNTIFS('Danh sách'!$B$2:$B$168,A10,'Danh sách'!$I$2:$I$168,"Không")</f>
        <v>0</v>
      </c>
      <c r="H10" s="4" t="n">
        <f aca="false">COUNTIFS('Danh sách'!$B$2:$B$168,A10,'Danh sách'!$F$2:$F$168,"Có")</f>
        <v>0</v>
      </c>
    </row>
    <row r="11" customFormat="false" ht="15" hidden="false" customHeight="false" outlineLevel="0" collapsed="false">
      <c r="A11" s="4" t="s">
        <v>179</v>
      </c>
      <c r="B11" s="4" t="s">
        <v>180</v>
      </c>
      <c r="C11" s="4" t="n">
        <f aca="false">COUNTIF('Danh sách'!$B$2:$B$168,A11)</f>
        <v>6</v>
      </c>
      <c r="D11" s="5" t="n">
        <f aca="false">AVERAGEIFS('Danh sách'!$J$2:$J$168,'Danh sách'!$B$2:$B$168,A11)</f>
        <v>3133.66666666667</v>
      </c>
      <c r="E11" s="5" t="n">
        <f aca="false">AVERAGEIFS('Danh sách'!$L$2:$L$168,'Danh sách'!$B$2:$B$168,A11)</f>
        <v>39720.3333333333</v>
      </c>
      <c r="F11" s="4" t="n">
        <f aca="false">COUNTIFS('Danh sách'!$B$2:$B$168,A11,'Danh sách'!$H$2:$H$168,"Có")</f>
        <v>0</v>
      </c>
      <c r="G11" s="4" t="n">
        <f aca="false">COUNTIFS('Danh sách'!$B$2:$B$168,A11,'Danh sách'!$I$2:$I$168,"Không")</f>
        <v>0</v>
      </c>
      <c r="H11" s="4" t="n">
        <f aca="false">COUNTIFS('Danh sách'!$B$2:$B$168,A11,'Danh sách'!$F$2:$F$168,"Có")</f>
        <v>0</v>
      </c>
    </row>
    <row r="12" customFormat="false" ht="15" hidden="false" customHeight="false" outlineLevel="0" collapsed="false">
      <c r="A12" s="4" t="s">
        <v>193</v>
      </c>
      <c r="B12" s="4" t="s">
        <v>194</v>
      </c>
      <c r="C12" s="4" t="n">
        <f aca="false">COUNTIF('Danh sách'!$B$2:$B$168,A12)</f>
        <v>17</v>
      </c>
      <c r="D12" s="5" t="n">
        <f aca="false">AVERAGEIFS('Danh sách'!$J$2:$J$168,'Danh sách'!$B$2:$B$168,A12)</f>
        <v>3104.82352941177</v>
      </c>
      <c r="E12" s="5" t="n">
        <f aca="false">AVERAGEIFS('Danh sách'!$L$2:$L$168,'Danh sách'!$B$2:$B$168,A12)</f>
        <v>39464</v>
      </c>
      <c r="F12" s="4" t="n">
        <f aca="false">COUNTIFS('Danh sách'!$B$2:$B$168,A12,'Danh sách'!$H$2:$H$168,"Có")</f>
        <v>0</v>
      </c>
      <c r="G12" s="4" t="n">
        <f aca="false">COUNTIFS('Danh sách'!$B$2:$B$168,A12,'Danh sách'!$I$2:$I$168,"Không")</f>
        <v>2</v>
      </c>
      <c r="H12" s="4" t="n">
        <f aca="false">COUNTIFS('Danh sách'!$B$2:$B$168,A12,'Danh sách'!$F$2:$F$168,"Có")</f>
        <v>0</v>
      </c>
    </row>
    <row r="13" customFormat="false" ht="15" hidden="false" customHeight="false" outlineLevel="0" collapsed="false">
      <c r="A13" s="4" t="s">
        <v>229</v>
      </c>
      <c r="B13" s="4" t="s">
        <v>230</v>
      </c>
      <c r="C13" s="4" t="n">
        <f aca="false">COUNTIF('Danh sách'!$B$2:$B$168,A13)</f>
        <v>4</v>
      </c>
      <c r="D13" s="5" t="n">
        <f aca="false">AVERAGEIFS('Danh sách'!$J$2:$J$168,'Danh sách'!$B$2:$B$168,A13)</f>
        <v>2756.75</v>
      </c>
      <c r="E13" s="5" t="n">
        <f aca="false">AVERAGEIFS('Danh sách'!$L$2:$L$168,'Danh sách'!$B$2:$B$168,A13)</f>
        <v>38032.25</v>
      </c>
      <c r="F13" s="4" t="n">
        <f aca="false">COUNTIFS('Danh sách'!$B$2:$B$168,A13,'Danh sách'!$H$2:$H$168,"Có")</f>
        <v>0</v>
      </c>
      <c r="G13" s="4" t="n">
        <f aca="false">COUNTIFS('Danh sách'!$B$2:$B$168,A13,'Danh sách'!$I$2:$I$168,"Không")</f>
        <v>0</v>
      </c>
      <c r="H13" s="4" t="n">
        <f aca="false">COUNTIFS('Danh sách'!$B$2:$B$168,A13,'Danh sách'!$F$2:$F$168,"Có")</f>
        <v>0</v>
      </c>
    </row>
    <row r="14" customFormat="false" ht="15" hidden="false" customHeight="false" outlineLevel="0" collapsed="false">
      <c r="A14" s="4" t="s">
        <v>239</v>
      </c>
      <c r="B14" s="4" t="s">
        <v>240</v>
      </c>
      <c r="C14" s="4" t="n">
        <f aca="false">COUNTIF('Danh sách'!$B$2:$B$168,A14)</f>
        <v>15</v>
      </c>
      <c r="D14" s="5" t="n">
        <f aca="false">AVERAGEIFS('Danh sách'!$J$2:$J$168,'Danh sách'!$B$2:$B$168,A14)</f>
        <v>3070.33333333333</v>
      </c>
      <c r="E14" s="5" t="n">
        <f aca="false">AVERAGEIFS('Danh sách'!$L$2:$L$168,'Danh sách'!$B$2:$B$168,A14)</f>
        <v>39616.4666666667</v>
      </c>
      <c r="F14" s="4" t="n">
        <f aca="false">COUNTIFS('Danh sách'!$B$2:$B$168,A14,'Danh sách'!$H$2:$H$168,"Có")</f>
        <v>0</v>
      </c>
      <c r="G14" s="4" t="n">
        <f aca="false">COUNTIFS('Danh sách'!$B$2:$B$168,A14,'Danh sách'!$I$2:$I$168,"Không")</f>
        <v>1</v>
      </c>
      <c r="H14" s="4" t="n">
        <f aca="false">COUNTIFS('Danh sách'!$B$2:$B$168,A14,'Danh sách'!$F$2:$F$168,"Có")</f>
        <v>0</v>
      </c>
    </row>
    <row r="15" customFormat="false" ht="15" hidden="false" customHeight="false" outlineLevel="0" collapsed="false">
      <c r="A15" s="4" t="s">
        <v>271</v>
      </c>
      <c r="B15" s="4" t="s">
        <v>272</v>
      </c>
      <c r="C15" s="4" t="n">
        <f aca="false">COUNTIF('Danh sách'!$B$2:$B$168,A15)</f>
        <v>6</v>
      </c>
      <c r="D15" s="5" t="n">
        <f aca="false">AVERAGEIFS('Danh sách'!$J$2:$J$168,'Danh sách'!$B$2:$B$168,A15)</f>
        <v>2822.33333333333</v>
      </c>
      <c r="E15" s="5" t="n">
        <f aca="false">AVERAGEIFS('Danh sách'!$L$2:$L$168,'Danh sách'!$B$2:$B$168,A15)</f>
        <v>37746.6666666667</v>
      </c>
      <c r="F15" s="4" t="n">
        <f aca="false">COUNTIFS('Danh sách'!$B$2:$B$168,A15,'Danh sách'!$H$2:$H$168,"Có")</f>
        <v>0</v>
      </c>
      <c r="G15" s="4" t="n">
        <f aca="false">COUNTIFS('Danh sách'!$B$2:$B$168,A15,'Danh sách'!$I$2:$I$168,"Không")</f>
        <v>0</v>
      </c>
      <c r="H15" s="4" t="n">
        <f aca="false">COUNTIFS('Danh sách'!$B$2:$B$168,A15,'Danh sách'!$F$2:$F$168,"Có")</f>
        <v>0</v>
      </c>
    </row>
    <row r="16" customFormat="false" ht="15" hidden="false" customHeight="false" outlineLevel="0" collapsed="false">
      <c r="A16" s="4" t="s">
        <v>285</v>
      </c>
      <c r="B16" s="4" t="s">
        <v>286</v>
      </c>
      <c r="C16" s="4" t="n">
        <f aca="false">COUNTIF('Danh sách'!$B$2:$B$168,A16)</f>
        <v>5</v>
      </c>
      <c r="D16" s="5" t="n">
        <f aca="false">AVERAGEIFS('Danh sách'!$J$2:$J$168,'Danh sách'!$B$2:$B$168,A16)</f>
        <v>2989.8</v>
      </c>
      <c r="E16" s="5" t="n">
        <f aca="false">AVERAGEIFS('Danh sách'!$L$2:$L$168,'Danh sách'!$B$2:$B$168,A16)</f>
        <v>39711.2</v>
      </c>
      <c r="F16" s="4" t="n">
        <f aca="false">COUNTIFS('Danh sách'!$B$2:$B$168,A16,'Danh sách'!$H$2:$H$168,"Có")</f>
        <v>0</v>
      </c>
      <c r="G16" s="4" t="n">
        <f aca="false">COUNTIFS('Danh sách'!$B$2:$B$168,A16,'Danh sách'!$I$2:$I$168,"Không")</f>
        <v>0</v>
      </c>
      <c r="H16" s="4" t="n">
        <f aca="false">COUNTIFS('Danh sách'!$B$2:$B$168,A16,'Danh sách'!$F$2:$F$168,"Có")</f>
        <v>0</v>
      </c>
    </row>
    <row r="17" customFormat="false" ht="15" hidden="false" customHeight="false" outlineLevel="0" collapsed="false">
      <c r="A17" s="4" t="s">
        <v>297</v>
      </c>
      <c r="B17" s="4" t="s">
        <v>298</v>
      </c>
      <c r="C17" s="4" t="n">
        <f aca="false">COUNTIF('Danh sách'!$B$2:$B$168,A17)</f>
        <v>7</v>
      </c>
      <c r="D17" s="5" t="n">
        <f aca="false">AVERAGEIFS('Danh sách'!$J$2:$J$168,'Danh sách'!$B$2:$B$168,A17)</f>
        <v>3048.42857142857</v>
      </c>
      <c r="E17" s="5" t="n">
        <f aca="false">AVERAGEIFS('Danh sách'!$L$2:$L$168,'Danh sách'!$B$2:$B$168,A17)</f>
        <v>39342.8571428571</v>
      </c>
      <c r="F17" s="4" t="n">
        <f aca="false">COUNTIFS('Danh sách'!$B$2:$B$168,A17,'Danh sách'!$H$2:$H$168,"Có")</f>
        <v>0</v>
      </c>
      <c r="G17" s="4" t="n">
        <f aca="false">COUNTIFS('Danh sách'!$B$2:$B$168,A17,'Danh sách'!$I$2:$I$168,"Không")</f>
        <v>0</v>
      </c>
      <c r="H17" s="4" t="n">
        <f aca="false">COUNTIFS('Danh sách'!$B$2:$B$168,A17,'Danh sách'!$F$2:$F$168,"Có")</f>
        <v>0</v>
      </c>
    </row>
    <row r="18" customFormat="false" ht="15" hidden="false" customHeight="false" outlineLevel="0" collapsed="false">
      <c r="A18" s="4" t="s">
        <v>313</v>
      </c>
      <c r="B18" s="4" t="s">
        <v>314</v>
      </c>
      <c r="C18" s="4" t="n">
        <f aca="false">COUNTIF('Danh sách'!$B$2:$B$168,A18)</f>
        <v>2</v>
      </c>
      <c r="D18" s="5" t="n">
        <f aca="false">AVERAGEIFS('Danh sách'!$J$2:$J$168,'Danh sách'!$B$2:$B$168,A18)</f>
        <v>2781.5</v>
      </c>
      <c r="E18" s="5" t="n">
        <f aca="false">AVERAGEIFS('Danh sách'!$L$2:$L$168,'Danh sách'!$B$2:$B$168,A18)</f>
        <v>39028.5</v>
      </c>
      <c r="F18" s="4" t="n">
        <f aca="false">COUNTIFS('Danh sách'!$B$2:$B$168,A18,'Danh sách'!$H$2:$H$168,"Có")</f>
        <v>0</v>
      </c>
      <c r="G18" s="4" t="n">
        <f aca="false">COUNTIFS('Danh sách'!$B$2:$B$168,A18,'Danh sách'!$I$2:$I$168,"Không")</f>
        <v>0</v>
      </c>
      <c r="H18" s="4" t="n">
        <f aca="false">COUNTIFS('Danh sách'!$B$2:$B$168,A18,'Danh sách'!$F$2:$F$168,"Có")</f>
        <v>0</v>
      </c>
    </row>
    <row r="19" customFormat="false" ht="15" hidden="false" customHeight="false" outlineLevel="0" collapsed="false">
      <c r="A19" s="4" t="s">
        <v>319</v>
      </c>
      <c r="B19" s="4" t="s">
        <v>320</v>
      </c>
      <c r="C19" s="4" t="n">
        <f aca="false">COUNTIF('Danh sách'!$B$2:$B$168,A19)</f>
        <v>8</v>
      </c>
      <c r="D19" s="5" t="n">
        <f aca="false">AVERAGEIFS('Danh sách'!$J$2:$J$168,'Danh sách'!$B$2:$B$168,A19)</f>
        <v>2938.75</v>
      </c>
      <c r="E19" s="5" t="n">
        <f aca="false">AVERAGEIFS('Danh sách'!$L$2:$L$168,'Danh sách'!$B$2:$B$168,A19)</f>
        <v>38681.5</v>
      </c>
      <c r="F19" s="4" t="n">
        <f aca="false">COUNTIFS('Danh sách'!$B$2:$B$168,A19,'Danh sách'!$H$2:$H$168,"Có")</f>
        <v>0</v>
      </c>
      <c r="G19" s="4" t="n">
        <f aca="false">COUNTIFS('Danh sách'!$B$2:$B$168,A19,'Danh sách'!$I$2:$I$168,"Không")</f>
        <v>1</v>
      </c>
      <c r="H19" s="4" t="n">
        <f aca="false">COUNTIFS('Danh sách'!$B$2:$B$168,A19,'Danh sách'!$F$2:$F$168,"Có")</f>
        <v>0</v>
      </c>
    </row>
    <row r="20" customFormat="false" ht="15" hidden="false" customHeight="false" outlineLevel="0" collapsed="false">
      <c r="A20" s="4" t="s">
        <v>337</v>
      </c>
      <c r="B20" s="4" t="s">
        <v>338</v>
      </c>
      <c r="C20" s="4" t="n">
        <f aca="false">COUNTIF('Danh sách'!$B$2:$B$168,A20)</f>
        <v>11</v>
      </c>
      <c r="D20" s="5" t="n">
        <f aca="false">AVERAGEIFS('Danh sách'!$J$2:$J$168,'Danh sách'!$B$2:$B$168,A20)</f>
        <v>2409.81818181818</v>
      </c>
      <c r="E20" s="5" t="n">
        <f aca="false">AVERAGEIFS('Danh sách'!$L$2:$L$168,'Danh sách'!$B$2:$B$168,A20)</f>
        <v>35036.8181818182</v>
      </c>
      <c r="F20" s="4" t="n">
        <f aca="false">COUNTIFS('Danh sách'!$B$2:$B$168,A20,'Danh sách'!$H$2:$H$168,"Có")</f>
        <v>0</v>
      </c>
      <c r="G20" s="4" t="n">
        <f aca="false">COUNTIFS('Danh sách'!$B$2:$B$168,A20,'Danh sách'!$I$2:$I$168,"Không")</f>
        <v>4</v>
      </c>
      <c r="H20" s="4" t="n">
        <f aca="false">COUNTIFS('Danh sách'!$B$2:$B$168,A20,'Danh sách'!$F$2:$F$168,"Có")</f>
        <v>0</v>
      </c>
    </row>
    <row r="21" customFormat="false" ht="15" hidden="false" customHeight="false" outlineLevel="0" collapsed="false">
      <c r="A21" s="4" t="s">
        <v>361</v>
      </c>
      <c r="B21" s="4" t="s">
        <v>362</v>
      </c>
      <c r="C21" s="4" t="n">
        <f aca="false">COUNTIF('Danh sách'!$B$2:$B$168,A21)</f>
        <v>17</v>
      </c>
      <c r="D21" s="5" t="n">
        <f aca="false">AVERAGEIFS('Danh sách'!$J$2:$J$168,'Danh sách'!$B$2:$B$168,A21)</f>
        <v>2908.11764705882</v>
      </c>
      <c r="E21" s="5" t="n">
        <f aca="false">AVERAGEIFS('Danh sách'!$L$2:$L$168,'Danh sách'!$B$2:$B$168,A21)</f>
        <v>38136.7647058824</v>
      </c>
      <c r="F21" s="4" t="n">
        <f aca="false">COUNTIFS('Danh sách'!$B$2:$B$168,A21,'Danh sách'!$H$2:$H$168,"Có")</f>
        <v>0</v>
      </c>
      <c r="G21" s="4" t="n">
        <f aca="false">COUNTIFS('Danh sách'!$B$2:$B$168,A21,'Danh sách'!$I$2:$I$168,"Không")</f>
        <v>2</v>
      </c>
      <c r="H21" s="4" t="n">
        <f aca="false">COUNTIFS('Danh sách'!$B$2:$B$168,A21,'Danh sách'!$F$2:$F$168,"Có")</f>
        <v>2</v>
      </c>
    </row>
    <row r="22" customFormat="false" ht="15" hidden="false" customHeight="false" outlineLevel="0" collapsed="false">
      <c r="A22" s="6" t="s">
        <v>403</v>
      </c>
      <c r="B22" s="6"/>
      <c r="C22" s="6" t="n">
        <f aca="false">SUM(C2:C21)</f>
        <v>167</v>
      </c>
      <c r="D22" s="7" t="n">
        <f aca="false">MEDIAN('Danh sách'!$J$2:$J$168)</f>
        <v>2874</v>
      </c>
      <c r="E22" s="7" t="n">
        <f aca="false">MEDIAN('Danh sách'!$L$2:$L$168)</f>
        <v>38109</v>
      </c>
      <c r="F22" s="6" t="n">
        <f aca="false">SUM(F2:F21)</f>
        <v>0</v>
      </c>
      <c r="G22" s="6" t="n">
        <f aca="false">SUM(G2:G21)</f>
        <v>12</v>
      </c>
      <c r="H22" s="6" t="n">
        <f aca="false">SUM(H2:H21)</f>
        <v>3</v>
      </c>
    </row>
    <row r="23" customFormat="false" ht="15" hidden="false" customHeight="false" outlineLevel="0" collapsed="false">
      <c r="A23" s="8" t="s">
        <v>404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62"/>
    <col collapsed="false" customWidth="true" hidden="false" outlineLevel="0" max="4" min="4" style="0" width="12"/>
    <col collapsed="false" customWidth="true" hidden="false" outlineLevel="0" max="6" min="5" style="0" width="58"/>
  </cols>
  <sheetData>
    <row r="1" customFormat="false" ht="15" hidden="false" customHeight="false" outlineLevel="0" collapsed="false">
      <c r="A1" s="1" t="s">
        <v>405</v>
      </c>
      <c r="B1" s="1" t="s">
        <v>406</v>
      </c>
      <c r="C1" s="1" t="s">
        <v>407</v>
      </c>
      <c r="D1" s="1" t="s">
        <v>408</v>
      </c>
      <c r="E1" s="1" t="s">
        <v>409</v>
      </c>
      <c r="F1" s="1" t="s">
        <v>410</v>
      </c>
    </row>
    <row r="2" customFormat="false" ht="35.05" hidden="false" customHeight="false" outlineLevel="0" collapsed="false">
      <c r="A2" s="3" t="n">
        <v>1</v>
      </c>
      <c r="B2" s="3" t="s">
        <v>411</v>
      </c>
      <c r="C2" s="3" t="str">
        <f aca="false">COUNTIF('Danh sách'!$H$2:$H$168,"Có")&amp;"/"&amp;COUNTA('Danh sách'!$D$2:$D$168)&amp;" mô tả bắt đầu bằng 'Dùng khi'; "&amp;COUNTIF('Danh sách'!$I$2:$I$168,"Không")&amp;"/"&amp;COUNTA('Danh sách'!$D$2:$D$168)&amp;" không có cụm này; 99/167 có dấu : liệt kê nội dung; 139/167 kết thúc bằng câu 'Bản riêng cho Trường Quốc tế – ĐHQGHN (VNU-IS)'"</f>
        <v>0/167 mô tả bắt đầu bằng 'Dùng khi'; 12/167 không có cụm này; 99/167 có dấu : liệt kê nội dung; 139/167 kết thúc bằng câu 'Bản riêng cho Trường Quốc tế – ĐHQGHN (VNU-IS)'</v>
      </c>
      <c r="D2" s="3" t="s">
        <v>412</v>
      </c>
      <c r="E2" s="3" t="s">
        <v>413</v>
      </c>
      <c r="F2" s="3" t="s">
        <v>414</v>
      </c>
    </row>
    <row r="3" customFormat="false" ht="35.05" hidden="false" customHeight="false" outlineLevel="0" collapsed="false">
      <c r="A3" s="3" t="n">
        <v>2</v>
      </c>
      <c r="B3" s="3" t="s">
        <v>415</v>
      </c>
      <c r="C3" s="3" t="str">
        <f aca="false">"Trung vị "&amp;TEXT(MEDIAN('Danh sách'!$J$2:$J$168),"#,##0")&amp;" từ ("&amp;TEXT(MEDIAN('Danh sách'!$K$2:$K$168),"#,##0")&amp;" ký tự); nhỏ nhất "&amp;TEXT(MIN('Danh sách'!$J$2:$J$168),"#,##0")&amp;", lớn nhất "&amp;TEXT(MAX('Danh sách'!$J$2:$J$168),"#,##0")&amp;" từ; "&amp;COUNTIF('Danh sách'!$J$2:$J$168,"&gt;500")&amp;"/"&amp;COUNTA('Danh sách'!$D$2:$D$168)&amp;" vượt 500 từ"</f>
        <v>Trung vị 2,874 từ (14,259 ký tự); nhỏ nhất 1,709, lớn nhất 3,903 từ; 167/167 vượt 500 từ</v>
      </c>
      <c r="D3" s="3" t="s">
        <v>412</v>
      </c>
      <c r="E3" s="3" t="s">
        <v>416</v>
      </c>
      <c r="F3" s="3" t="s">
        <v>417</v>
      </c>
    </row>
    <row r="4" customFormat="false" ht="46.25" hidden="false" customHeight="false" outlineLevel="0" collapsed="false">
      <c r="A4" s="3" t="n">
        <v>3</v>
      </c>
      <c r="B4" s="3" t="s">
        <v>418</v>
      </c>
      <c r="C4" s="3" t="str">
        <f aca="false">"Trung vị "&amp;TEXT(MEDIAN('Danh sách'!$L$2:$L$168),"#,##0")&amp;" ký tự (SKILL.md + 3 tham chiếu), lớn nhất "&amp;TEXT(MAX('Danh sách'!$L$2:$L$168),"#,##0")&amp;", chưa tính dữ liệu người dùng; báo cáo thử nghiệm của gói ghi khoảng 97.000–112.000 ký tự gửi cho mô hình mỗi lượt chạy (gồm cả dữ liệu thử 28.000–34.000 ký tự và các bước tự kiểm tra)"</f>
        <v>Trung vị 38,109 ký tự (SKILL.md + 3 tham chiếu), lớn nhất 46,811, chưa tính dữ liệu người dùng; báo cáo thử nghiệm của gói ghi khoảng 97.000–112.000 ký tự gửi cho mô hình mỗi lượt chạy (gồm cả dữ liệu thử 28.000–34.000 ký tự và các bước tự kiểm tra)</v>
      </c>
      <c r="D4" s="3" t="s">
        <v>412</v>
      </c>
      <c r="E4" s="3" t="s">
        <v>419</v>
      </c>
      <c r="F4" s="3" t="s">
        <v>420</v>
      </c>
    </row>
    <row r="5" customFormat="false" ht="23.85" hidden="false" customHeight="false" outlineLevel="0" collapsed="false">
      <c r="A5" s="3" t="n">
        <v>4</v>
      </c>
      <c r="B5" s="3" t="s">
        <v>421</v>
      </c>
      <c r="C5" s="3" t="str">
        <f aca="false">"Nằm ở dòng "&amp;MEDIAN('Danh sách'!$M$2:$M$168)&amp;" (trung vị), sau 4 khối chung về định dạng, quy cách, kiểm soát, human gate"</f>
        <v>Nằm ở dòng 40 (trung vị), sau 4 khối chung về định dạng, quy cách, kiểm soát, human gate</v>
      </c>
      <c r="D5" s="3" t="s">
        <v>422</v>
      </c>
      <c r="E5" s="3" t="s">
        <v>423</v>
      </c>
      <c r="F5" s="3" t="s">
        <v>424</v>
      </c>
    </row>
    <row r="6" customFormat="false" ht="23.85" hidden="false" customHeight="false" outlineLevel="0" collapsed="false">
      <c r="A6" s="3" t="n">
        <v>5</v>
      </c>
      <c r="B6" s="3" t="s">
        <v>425</v>
      </c>
      <c r="C6" s="3" t="s">
        <v>426</v>
      </c>
      <c r="D6" s="3" t="s">
        <v>412</v>
      </c>
      <c r="E6" s="3" t="s">
        <v>427</v>
      </c>
      <c r="F6" s="3" t="s">
        <v>428</v>
      </c>
    </row>
    <row r="7" customFormat="false" ht="46.25" hidden="false" customHeight="false" outlineLevel="0" collapsed="false">
      <c r="A7" s="3" t="n">
        <v>6</v>
      </c>
      <c r="B7" s="3" t="s">
        <v>429</v>
      </c>
      <c r="C7" s="3" t="s">
        <v>430</v>
      </c>
      <c r="D7" s="3" t="s">
        <v>422</v>
      </c>
      <c r="E7" s="3" t="s">
        <v>431</v>
      </c>
      <c r="F7" s="3" t="s">
        <v>432</v>
      </c>
    </row>
    <row r="8" customFormat="false" ht="23.85" hidden="false" customHeight="false" outlineLevel="0" collapsed="false">
      <c r="A8" s="3" t="n">
        <v>7</v>
      </c>
      <c r="B8" s="3" t="s">
        <v>433</v>
      </c>
      <c r="C8" s="3" t="s">
        <v>434</v>
      </c>
      <c r="D8" s="3" t="s">
        <v>435</v>
      </c>
      <c r="E8" s="3" t="s">
        <v>436</v>
      </c>
      <c r="F8" s="3" t="s">
        <v>437</v>
      </c>
    </row>
    <row r="9" customFormat="false" ht="23.85" hidden="false" customHeight="false" outlineLevel="0" collapsed="false">
      <c r="A9" s="3" t="n">
        <v>8</v>
      </c>
      <c r="B9" s="3" t="s">
        <v>438</v>
      </c>
      <c r="C9" s="3" t="str">
        <f aca="false">"Có "&amp;SUM('Danh sách'!$O$2:$O$168)&amp;" dấu ⏱ trong 167 skill; chính gói ghi là ước tính của bộ gốc, chưa đo tại VNU-IS"</f>
        <v>Có 1173 dấu ⏱ trong 167 skill; chính gói ghi là ước tính của bộ gốc, chưa đo tại VNU-IS</v>
      </c>
      <c r="D9" s="3" t="s">
        <v>422</v>
      </c>
      <c r="E9" s="3" t="s">
        <v>439</v>
      </c>
      <c r="F9" s="3" t="s">
        <v>440</v>
      </c>
    </row>
    <row r="10" customFormat="false" ht="46.25" hidden="false" customHeight="false" outlineLevel="0" collapsed="false">
      <c r="A10" s="3" t="n">
        <v>9</v>
      </c>
      <c r="B10" s="3" t="s">
        <v>441</v>
      </c>
      <c r="C10" s="3" t="str">
        <f aca="false">"Mới thử "&amp;COUNTIF('Danh sách'!$F$2:$F$168,"Có")&amp;"/"&amp;COUNTA('Danh sách'!$D$2:$D$168)&amp;" skill, bằng dữ liệu giả lập; người soạn gói đóng vai mô hình và biết trước đáp án; chưa có mô hình thật; chưa có lượt chạy không-skill để đối chứng (báo cáo ghi một trường hợp làm đúng nhờ suy luận chung, không nhờ skill)"</f>
        <v>Mới thử 3/167 skill, bằng dữ liệu giả lập; người soạn gói đóng vai mô hình và biết trước đáp án; chưa có mô hình thật; chưa có lượt chạy không-skill để đối chứng (báo cáo ghi một trường hợp làm đúng nhờ suy luận chung, không nhờ skill)</v>
      </c>
      <c r="D10" s="3" t="s">
        <v>412</v>
      </c>
      <c r="E10" s="3" t="s">
        <v>442</v>
      </c>
      <c r="F10" s="3" t="s">
        <v>443</v>
      </c>
    </row>
    <row r="11" customFormat="false" ht="23.85" hidden="false" customHeight="false" outlineLevel="0" collapsed="false">
      <c r="A11" s="3" t="n">
        <v>10</v>
      </c>
      <c r="B11" s="3" t="s">
        <v>444</v>
      </c>
      <c r="C11" s="3" t="s">
        <v>445</v>
      </c>
      <c r="D11" s="3" t="s">
        <v>422</v>
      </c>
      <c r="E11" s="3" t="s">
        <v>446</v>
      </c>
      <c r="F11" s="3" t="s">
        <v>447</v>
      </c>
    </row>
    <row r="12" customFormat="false" ht="35.05" hidden="false" customHeight="false" outlineLevel="0" collapsed="false">
      <c r="A12" s="3" t="n">
        <v>11</v>
      </c>
      <c r="B12" s="3" t="s">
        <v>448</v>
      </c>
      <c r="C12" s="3" t="s">
        <v>449</v>
      </c>
      <c r="D12" s="3" t="s">
        <v>435</v>
      </c>
      <c r="E12" s="3" t="s">
        <v>450</v>
      </c>
      <c r="F12" s="3" t="s">
        <v>451</v>
      </c>
    </row>
    <row r="13" customFormat="false" ht="35.05" hidden="false" customHeight="false" outlineLevel="0" collapsed="false">
      <c r="A13" s="3" t="n">
        <v>12</v>
      </c>
      <c r="B13" s="3" t="s">
        <v>452</v>
      </c>
      <c r="C13" s="3" t="s">
        <v>453</v>
      </c>
      <c r="D13" s="3" t="s">
        <v>454</v>
      </c>
      <c r="E13" s="3" t="s">
        <v>455</v>
      </c>
      <c r="F13" s="3" t="s">
        <v>456</v>
      </c>
    </row>
    <row r="14" customFormat="false" ht="35.05" hidden="false" customHeight="false" outlineLevel="0" collapsed="false">
      <c r="A14" s="3" t="n">
        <v>13</v>
      </c>
      <c r="B14" s="3" t="s">
        <v>457</v>
      </c>
      <c r="C14" s="3" t="s">
        <v>458</v>
      </c>
      <c r="D14" s="3" t="s">
        <v>459</v>
      </c>
      <c r="E14" s="3" t="s">
        <v>460</v>
      </c>
      <c r="F14" s="3" t="s">
        <v>461</v>
      </c>
    </row>
    <row r="16" customFormat="false" ht="39.75" hidden="false" customHeight="true" outlineLevel="0" collapsed="false">
      <c r="B16" s="9" t="s">
        <v>462</v>
      </c>
      <c r="C16" s="9"/>
      <c r="D16" s="9"/>
      <c r="E16" s="9"/>
      <c r="F16" s="9"/>
    </row>
  </sheetData>
  <mergeCells count="1">
    <mergeCell ref="B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4" min="3" style="0" width="58"/>
  </cols>
  <sheetData>
    <row r="1" customFormat="false" ht="23.85" hidden="false" customHeight="false" outlineLevel="0" collapsed="false">
      <c r="A1" s="1" t="s">
        <v>405</v>
      </c>
      <c r="B1" s="1" t="s">
        <v>463</v>
      </c>
      <c r="C1" s="1" t="s">
        <v>464</v>
      </c>
      <c r="D1" s="1" t="s">
        <v>465</v>
      </c>
    </row>
    <row r="2" customFormat="false" ht="15" hidden="false" customHeight="false" outlineLevel="0" collapsed="false">
      <c r="A2" s="4" t="n">
        <v>1</v>
      </c>
      <c r="B2" s="4" t="n">
        <v>0.67</v>
      </c>
      <c r="C2" s="4" t="s">
        <v>121</v>
      </c>
      <c r="D2" s="4" t="s">
        <v>151</v>
      </c>
    </row>
    <row r="3" customFormat="false" ht="15" hidden="false" customHeight="false" outlineLevel="0" collapsed="false">
      <c r="A3" s="4" t="n">
        <v>2</v>
      </c>
      <c r="B3" s="4" t="n">
        <v>0.52</v>
      </c>
      <c r="C3" s="4" t="s">
        <v>263</v>
      </c>
      <c r="D3" s="4" t="s">
        <v>389</v>
      </c>
    </row>
    <row r="4" customFormat="false" ht="15" hidden="false" customHeight="false" outlineLevel="0" collapsed="false">
      <c r="A4" s="4" t="n">
        <v>3</v>
      </c>
      <c r="B4" s="4" t="n">
        <v>0.45</v>
      </c>
      <c r="C4" s="4" t="s">
        <v>295</v>
      </c>
      <c r="D4" s="4" t="s">
        <v>333</v>
      </c>
    </row>
    <row r="5" customFormat="false" ht="15" hidden="false" customHeight="false" outlineLevel="0" collapsed="false">
      <c r="A5" s="4" t="n">
        <v>4</v>
      </c>
      <c r="B5" s="4" t="n">
        <v>0.43</v>
      </c>
      <c r="C5" s="4" t="s">
        <v>68</v>
      </c>
      <c r="D5" s="4" t="s">
        <v>231</v>
      </c>
    </row>
    <row r="6" customFormat="false" ht="15" hidden="false" customHeight="false" outlineLevel="0" collapsed="false">
      <c r="A6" s="4" t="n">
        <v>5</v>
      </c>
      <c r="B6" s="4" t="n">
        <v>0.39</v>
      </c>
      <c r="C6" s="4" t="s">
        <v>299</v>
      </c>
      <c r="D6" s="4" t="s">
        <v>303</v>
      </c>
    </row>
    <row r="7" customFormat="false" ht="15" hidden="false" customHeight="false" outlineLevel="0" collapsed="false">
      <c r="A7" s="4" t="n">
        <v>6</v>
      </c>
      <c r="B7" s="4" t="n">
        <v>0.38</v>
      </c>
      <c r="C7" s="4" t="s">
        <v>127</v>
      </c>
      <c r="D7" s="4" t="s">
        <v>371</v>
      </c>
    </row>
    <row r="8" customFormat="false" ht="15" hidden="false" customHeight="false" outlineLevel="0" collapsed="false">
      <c r="A8" s="4" t="n">
        <v>7</v>
      </c>
      <c r="B8" s="4" t="n">
        <v>0.38</v>
      </c>
      <c r="C8" s="4" t="s">
        <v>57</v>
      </c>
      <c r="D8" s="4" t="s">
        <v>61</v>
      </c>
    </row>
    <row r="9" customFormat="false" ht="15" hidden="false" customHeight="false" outlineLevel="0" collapsed="false">
      <c r="A9" s="4" t="n">
        <v>8</v>
      </c>
      <c r="B9" s="4" t="n">
        <v>0.37</v>
      </c>
      <c r="C9" s="4" t="s">
        <v>191</v>
      </c>
      <c r="D9" s="4" t="s">
        <v>263</v>
      </c>
    </row>
    <row r="10" customFormat="false" ht="15" hidden="false" customHeight="false" outlineLevel="0" collapsed="false">
      <c r="A10" s="4" t="n">
        <v>9</v>
      </c>
      <c r="B10" s="4" t="n">
        <v>0.37</v>
      </c>
      <c r="C10" s="4" t="s">
        <v>189</v>
      </c>
      <c r="D10" s="4" t="s">
        <v>191</v>
      </c>
    </row>
    <row r="11" customFormat="false" ht="15" hidden="false" customHeight="false" outlineLevel="0" collapsed="false">
      <c r="A11" s="4" t="n">
        <v>10</v>
      </c>
      <c r="B11" s="4" t="n">
        <v>0.36</v>
      </c>
      <c r="C11" s="4" t="s">
        <v>123</v>
      </c>
      <c r="D11" s="4" t="s">
        <v>231</v>
      </c>
    </row>
    <row r="12" customFormat="false" ht="15" hidden="false" customHeight="false" outlineLevel="0" collapsed="false">
      <c r="A12" s="4" t="n">
        <v>11</v>
      </c>
      <c r="B12" s="4" t="n">
        <v>0.36</v>
      </c>
      <c r="C12" s="4" t="s">
        <v>63</v>
      </c>
      <c r="D12" s="4" t="s">
        <v>269</v>
      </c>
    </row>
    <row r="13" customFormat="false" ht="15" hidden="false" customHeight="false" outlineLevel="0" collapsed="false">
      <c r="A13" s="4" t="n">
        <v>12</v>
      </c>
      <c r="B13" s="4" t="n">
        <v>0.35</v>
      </c>
      <c r="C13" s="4" t="s">
        <v>247</v>
      </c>
      <c r="D13" s="4" t="s">
        <v>259</v>
      </c>
    </row>
    <row r="14" customFormat="false" ht="15" hidden="false" customHeight="false" outlineLevel="0" collapsed="false">
      <c r="A14" s="4" t="n">
        <v>13</v>
      </c>
      <c r="B14" s="4" t="n">
        <v>0.35</v>
      </c>
      <c r="C14" s="4" t="s">
        <v>231</v>
      </c>
      <c r="D14" s="4" t="s">
        <v>287</v>
      </c>
    </row>
    <row r="15" customFormat="false" ht="15" hidden="false" customHeight="false" outlineLevel="0" collapsed="false">
      <c r="A15" s="4" t="n">
        <v>14</v>
      </c>
      <c r="B15" s="4" t="n">
        <v>0.35</v>
      </c>
      <c r="C15" s="4" t="s">
        <v>159</v>
      </c>
      <c r="D15" s="4" t="s">
        <v>161</v>
      </c>
    </row>
    <row r="16" customFormat="false" ht="15" hidden="false" customHeight="false" outlineLevel="0" collapsed="false">
      <c r="A16" s="4" t="n">
        <v>15</v>
      </c>
      <c r="B16" s="4" t="n">
        <v>0.35</v>
      </c>
      <c r="C16" s="4" t="s">
        <v>61</v>
      </c>
      <c r="D16" s="4" t="s">
        <v>311</v>
      </c>
    </row>
    <row r="17" customFormat="false" ht="15" hidden="false" customHeight="false" outlineLevel="0" collapsed="false">
      <c r="A17" s="4" t="n">
        <v>16</v>
      </c>
      <c r="B17" s="4" t="n">
        <v>0.35</v>
      </c>
      <c r="C17" s="4" t="s">
        <v>45</v>
      </c>
      <c r="D17" s="4" t="s">
        <v>63</v>
      </c>
    </row>
    <row r="19" customFormat="false" ht="15" hidden="false" customHeight="false" outlineLevel="0" collapsed="false">
      <c r="B19" s="8" t="s">
        <v>466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2026-10-11T09:43:53Z</dcterms:created>
  <dc:creator>openpyxl</dc:creator>
  <dc:description/>
  <dc:language>en-US</dc:language>
  <cp:lastModifiedBy/>
  <dcterms:modified xsi:type="dcterms:W3CDTF">2026-10-11T09:43:54Z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